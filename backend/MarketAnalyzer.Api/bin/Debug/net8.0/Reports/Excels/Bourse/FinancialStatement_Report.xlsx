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bin\Desktop\New folder (2)\"/>
    </mc:Choice>
  </mc:AlternateContent>
  <xr:revisionPtr revIDLastSave="0" documentId="13_ncr:1_{C86DA9C2-DA8E-4418-A088-01735862085B}" xr6:coauthVersionLast="47" xr6:coauthVersionMax="47" xr10:uidLastSave="{00000000-0000-0000-0000-000000000000}"/>
  <bookViews>
    <workbookView xWindow="-108" yWindow="-108" windowWidth="23256" windowHeight="12576" activeTab="2" xr2:uid="{47F6680B-B58E-4898-8F1C-AC8058C7D8E9}"/>
  </bookViews>
  <sheets>
    <sheet name="1" sheetId="3" r:id="rId1"/>
    <sheet name="صورت خالص دارایی ها" sheetId="4" r:id="rId2"/>
    <sheet name="صورت سود و زیان" sheetId="5" r:id="rId3"/>
    <sheet name="اطلاعات کلی صندوق" sheetId="6" r:id="rId4"/>
    <sheet name="مبنای تهیه صورت مالی 1" sheetId="7" r:id="rId5"/>
    <sheet name="مبنای تهیه صورت مالی 2" sheetId="8" r:id="rId6"/>
    <sheet name="5" sheetId="9" r:id="rId7"/>
    <sheet name="6" sheetId="10" r:id="rId8"/>
    <sheet name="7" sheetId="11" r:id="rId9"/>
    <sheet name="8-11" sheetId="12" r:id="rId10"/>
    <sheet name="12-13" sheetId="13" r:id="rId11"/>
    <sheet name="14" sheetId="14" r:id="rId12"/>
    <sheet name="15-16" sheetId="15" r:id="rId13"/>
    <sheet name="17-1" sheetId="16" r:id="rId14"/>
    <sheet name="17-2" sheetId="17" r:id="rId15"/>
    <sheet name="17-3" sheetId="18" r:id="rId16"/>
    <sheet name="18-1" sheetId="19" r:id="rId17"/>
    <sheet name="18-2" sheetId="20" r:id="rId18"/>
    <sheet name="19" sheetId="21" r:id="rId19"/>
    <sheet name="20-1" sheetId="22" r:id="rId20"/>
    <sheet name="20-2-3" sheetId="23" r:id="rId21"/>
    <sheet name="21-23" sheetId="24" r:id="rId22"/>
    <sheet name="24-26" sheetId="25" r:id="rId23"/>
    <sheet name="24-26-1" sheetId="26" r:id="rId24"/>
    <sheet name="27-28" sheetId="27" r:id="rId25"/>
    <sheet name="گزارش صورت های مالی" sheetId="1" r:id="rId26"/>
    <sheet name="سود و زیان اعمال اختیار" sheetId="2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5" l="1"/>
  <c r="G10" i="25"/>
  <c r="K15" i="5"/>
  <c r="G15" i="5"/>
  <c r="K11" i="5"/>
  <c r="G11" i="5"/>
  <c r="G21" i="4"/>
  <c r="E21" i="4"/>
  <c r="G14" i="4"/>
  <c r="E14" i="4"/>
  <c r="K16" i="5" l="1"/>
  <c r="K17" i="5" s="1"/>
  <c r="G16" i="5"/>
  <c r="G18" i="5" s="1"/>
  <c r="E22" i="4"/>
  <c r="E23" i="4" s="1"/>
  <c r="K18" i="5"/>
  <c r="G22" i="4"/>
  <c r="G23" i="4" s="1"/>
  <c r="G17" i="5" l="1"/>
  <c r="I12" i="15"/>
  <c r="G12" i="15"/>
  <c r="K12" i="12" l="1"/>
  <c r="I12" i="12"/>
  <c r="E12" i="12"/>
  <c r="M9" i="10"/>
  <c r="I9" i="10"/>
  <c r="K14" i="22"/>
  <c r="I14" i="22"/>
  <c r="M11" i="16"/>
  <c r="I11" i="16"/>
  <c r="M10" i="19"/>
  <c r="I10" i="19"/>
</calcChain>
</file>

<file path=xl/sharedStrings.xml><?xml version="1.0" encoding="utf-8"?>
<sst xmlns="http://schemas.openxmlformats.org/spreadsheetml/2006/main" count="337" uniqueCount="188">
  <si>
    <t>صندوق سرمایه‌گذاری مشترک مبین سرمایه</t>
  </si>
  <si>
    <t>یادداشت‌های توضیحی صورت‌های مالی</t>
  </si>
  <si>
    <t>نام سهم</t>
  </si>
  <si>
    <t>نام اختیار</t>
  </si>
  <si>
    <t>تاریخ اعمال</t>
  </si>
  <si>
    <t>تعداد</t>
  </si>
  <si>
    <t>قیمت اعمال</t>
  </si>
  <si>
    <t>ارزش اعمال</t>
  </si>
  <si>
    <t>ارزش دفتری اختیار</t>
  </si>
  <si>
    <t>بهای تمام شده سهم</t>
  </si>
  <si>
    <t>کارمزد اعمال</t>
  </si>
  <si>
    <t>مالیات اعمال</t>
  </si>
  <si>
    <t xml:space="preserve">کارمزد فروش </t>
  </si>
  <si>
    <t>سود (زیان) اعمال</t>
  </si>
  <si>
    <t>یادداشت های توضیحی صورت های مالی</t>
  </si>
  <si>
    <t>5- سرمایه گذاری در سهام و حق تقدم</t>
  </si>
  <si>
    <t>5-1 سرمایه گذاری در سهام و حق تقدم شرکتهای بورسی با فرابورسی به تفکیک صنعت شرح جدول زیر می باشد</t>
  </si>
  <si>
    <t>صنعت</t>
  </si>
  <si>
    <r>
      <t>بهای تمام شده</t>
    </r>
    <r>
      <rPr>
        <b/>
        <sz val="13"/>
        <color rgb="FF0070C0"/>
        <rFont val="B Nazanin"/>
        <charset val="178"/>
      </rPr>
      <t>*</t>
    </r>
  </si>
  <si>
    <r>
      <t>خالص ارزش فروش</t>
    </r>
    <r>
      <rPr>
        <b/>
        <sz val="13"/>
        <color rgb="FFC00000"/>
        <rFont val="B Nazanin"/>
        <charset val="178"/>
      </rPr>
      <t>**</t>
    </r>
  </si>
  <si>
    <t>درصد به کل دارایی ها</t>
  </si>
  <si>
    <t>بهای تمام شده</t>
  </si>
  <si>
    <t>خالص ارزش فروش</t>
  </si>
  <si>
    <t>18-سود (زیان) تحقق نیافته نگهداری اوراق بهادار</t>
  </si>
  <si>
    <t>سود و زیان تحقق نیافته نگهداري اوراق بهادار به شرح زیر است:</t>
  </si>
  <si>
    <t>یادداشت</t>
  </si>
  <si>
    <t>ریال</t>
  </si>
  <si>
    <t>سود (زيان) تحقق نیافته نگهداری سهام شركت هاي پذيرفته شده در بورس يا فرابورس</t>
  </si>
  <si>
    <t>18-1</t>
  </si>
  <si>
    <t>سود (زيان) تحقق نیافته ناشي از نگهداري اوراق با درآمد ثابت يا علي الحساب</t>
  </si>
  <si>
    <t>18-2</t>
  </si>
  <si>
    <t>18-1-  سود (زيان) تحقق نیافته نگهداری سهام شركت هاي پذيرفته شده در بورس يا فرابورس به شرح زير است:</t>
  </si>
  <si>
    <t>نام سهام</t>
  </si>
  <si>
    <t>ارزش بازار یا تعدیل شده</t>
  </si>
  <si>
    <t>ارزش دفتری</t>
  </si>
  <si>
    <t>کارمزد</t>
  </si>
  <si>
    <t>مالیات</t>
  </si>
  <si>
    <t>سود (زیان) تحقق نیافته</t>
  </si>
  <si>
    <t>دوره مالی سال مالی منتهی به 1402/12/29</t>
  </si>
  <si>
    <t>17-سود (زیان) فروش اوراق بهادار</t>
  </si>
  <si>
    <t>سود (زیان) فروش اوراق بهادار به شرح زیر است:</t>
  </si>
  <si>
    <t>1401/12/29</t>
  </si>
  <si>
    <t>سود(زیان) حاصل از فروش سهام  و حق نقدم شرکت‌های پذیرفته شده در بورس یا فرابورس</t>
  </si>
  <si>
    <t>17-1</t>
  </si>
  <si>
    <t>سود (زیان) ناشی از فروش اوراق بهادار با درآمد ثابت یا علی الحساب</t>
  </si>
  <si>
    <t>17-2</t>
  </si>
  <si>
    <t>سود (زیان) ناشی از اعمال اختیار معامله سهام</t>
  </si>
  <si>
    <t>17-3</t>
  </si>
  <si>
    <t>17-1 سود (زيان) حاصل از فروش سهام و حق تقدم سهام شركت هاي پذيرفته شده در بورس يا فرابورس به شرح ذیل می باشد:</t>
  </si>
  <si>
    <t>نام شرکت</t>
  </si>
  <si>
    <r>
      <t>بهای فروش</t>
    </r>
    <r>
      <rPr>
        <b/>
        <sz val="13"/>
        <color theme="8" tint="-0.249977111117893"/>
        <rFont val="B Nazanin"/>
        <charset val="178"/>
      </rPr>
      <t>**</t>
    </r>
  </si>
  <si>
    <r>
      <t>ارزش دفتری</t>
    </r>
    <r>
      <rPr>
        <b/>
        <sz val="13"/>
        <color rgb="FFC00000"/>
        <rFont val="B Nazanin"/>
        <charset val="178"/>
      </rPr>
      <t>*</t>
    </r>
  </si>
  <si>
    <t>کارمزد فروش</t>
  </si>
  <si>
    <t>سود (زیان) فروش</t>
  </si>
  <si>
    <t>17-2 سود (زیان) ناشی از فروش اوراق بهادار با درآمد ثابت یا علی الحساب شامل اقلام زیر است:</t>
  </si>
  <si>
    <t>عنوان</t>
  </si>
  <si>
    <t>تعداد فروش</t>
  </si>
  <si>
    <t>بهای فروش</t>
  </si>
  <si>
    <t>17-3  سود (زیان) ناشی از اعمال اختیار معامله سهام شامل اقلام زیر است:</t>
  </si>
  <si>
    <t>کارمزد فروش اختیار</t>
  </si>
  <si>
    <t>18-2- سود (زیان) تحقق نیافته نگهداری اوراق با درآمد ثابت يا علي الحساب به شرح زير است:</t>
  </si>
  <si>
    <t>19-سود سهام</t>
  </si>
  <si>
    <t>درآمد سود سهام شامل اقلام زير است: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</si>
  <si>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</si>
  <si>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</si>
  <si>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</si>
  <si>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</si>
  <si>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هزينه تنزيل</t>
  </si>
  <si>
    <t>خالص درآمد سود سهام</t>
  </si>
  <si>
    <t>صندوق سرمایه گذاریصندوق سرمایه‌گذاری مشترک مبین سرمایه</t>
  </si>
  <si>
    <t>20-سود اوراق بهادار با درآمد ثابت یا علی الحساب و سپرده های بانکی</t>
  </si>
  <si>
    <t>سود اوراق بهادار با درآمد ثابت يا علي الحساب و سپرده‌هاي بانکی به شرح زيرتفكيك مي شود:</t>
  </si>
  <si>
    <t>سود اوراق مشارکت</t>
  </si>
  <si>
    <t>20-1</t>
  </si>
  <si>
    <t>سود اوراق اجاره</t>
  </si>
  <si>
    <t>سود اوراق مرابحه</t>
  </si>
  <si>
    <t>گواهی سپرده بورسی</t>
  </si>
  <si>
    <t>سود سپرده و گواهی سپرده بانکی</t>
  </si>
  <si>
    <t>20-2</t>
  </si>
  <si>
    <t>سود صندوق سرمايه گذاري</t>
  </si>
  <si>
    <t>20-3</t>
  </si>
  <si>
    <t>20-1- سود اوراق مشارکت، اجاره، مرابحه و گواهي سپرده بورسي به شرح زیر می باشد:</t>
  </si>
  <si>
    <t>تاریخ سرمایه گذاری</t>
  </si>
  <si>
    <t>تاریخ سررسید</t>
  </si>
  <si>
    <t>نرخ سود</t>
  </si>
  <si>
    <t>خالص سود</t>
  </si>
  <si>
    <t>اوراق مشارکت</t>
  </si>
  <si>
    <t>اوراق مرابحه</t>
  </si>
  <si>
    <t>20-2- سود سپرد بانکی و گواهی سپرده بانکی به شرح زیر می باشد:</t>
  </si>
  <si>
    <t>نام</t>
  </si>
  <si>
    <t>تاريخ سرمايه‌گذاري</t>
  </si>
  <si>
    <t>تاريخ سررسيد</t>
  </si>
  <si>
    <t>مبلغ اسمي</t>
  </si>
  <si>
    <t>مبلغ سود</t>
  </si>
  <si>
    <t>خالص  سود</t>
  </si>
  <si>
    <t>درصد</t>
  </si>
  <si>
    <t>6-سرمایه‌گذاری در سپرده و گواهی سپرده بانکی</t>
  </si>
  <si>
    <t xml:space="preserve"> 1402/12/29</t>
  </si>
  <si>
    <t>سرمایه گذاری در سپرده بانکی</t>
  </si>
  <si>
    <t>6-1</t>
  </si>
  <si>
    <t>سرمایه گذاری در گواهی سپرده بانکی</t>
  </si>
  <si>
    <t>6-2</t>
  </si>
  <si>
    <t>6-1-  سرمایه گذاری در سپرده های بانکی به شرح زیر است:</t>
  </si>
  <si>
    <t>سپرده های بانکی</t>
  </si>
  <si>
    <t>تاریخ سپرده گذاری</t>
  </si>
  <si>
    <t>تاریخ سر رسید</t>
  </si>
  <si>
    <t>مبلغ</t>
  </si>
  <si>
    <t>درصد از کل دارایی ها</t>
  </si>
  <si>
    <t>21-سایر درآمدها</t>
  </si>
  <si>
    <t>8-حساب‌های دریافتنی</t>
  </si>
  <si>
    <t>حساب‌هاي دريافتني تجاري به تفكيك به شرح زيراست:</t>
  </si>
  <si>
    <t>تنزیل نشده</t>
  </si>
  <si>
    <t>نرخ تنزیل</t>
  </si>
  <si>
    <t>تنزیل شده</t>
  </si>
  <si>
    <t>سود سپرده‌های بانکی دریافتنی</t>
  </si>
  <si>
    <t>8-1</t>
  </si>
  <si>
    <t>سود سهام دریافتنی</t>
  </si>
  <si>
    <t>8-2</t>
  </si>
  <si>
    <t>سایر حساب های دریافتنی</t>
  </si>
  <si>
    <t>8-3</t>
  </si>
  <si>
    <t>8-1- سود سپرده‌های بانکی دریافتنی</t>
  </si>
  <si>
    <t>12- بدهی به ارکان صندوق</t>
  </si>
  <si>
    <t>14-تسهیلات مالی دریافتی</t>
  </si>
  <si>
    <t>نرخ تسهیلات</t>
  </si>
  <si>
    <t>تاریخ اخذ تسهیلات</t>
  </si>
  <si>
    <t>سررسید</t>
  </si>
  <si>
    <t>مبلغ دریافتی</t>
  </si>
  <si>
    <t>اقساط پرداخت شده</t>
  </si>
  <si>
    <t>مانده</t>
  </si>
  <si>
    <t>درصد تسهیلات به خالص ارزش دارایی ها</t>
  </si>
  <si>
    <t>15-سایر حسابهای پرداختنی و ذخایر</t>
  </si>
  <si>
    <t>سایر حساب های پرداختنی و ذخایر در تاریخ ترازنامه به شرح زیر است:</t>
  </si>
  <si>
    <t>بدهی به مدیر بابت هزینه آبونمان نرم‌افزار</t>
  </si>
  <si>
    <t>ذخیره کارمزد تصفیه</t>
  </si>
  <si>
    <t>سایر پرداختتی برای واریز نامشخص</t>
  </si>
  <si>
    <t>ذخیره آبونمان نرم افزار</t>
  </si>
  <si>
    <t>بدهی بابت امور صندوق</t>
  </si>
  <si>
    <t>صورت خالص دارایی‌ها</t>
  </si>
  <si>
    <t>دارایی ها</t>
  </si>
  <si>
    <t>سرمایه گذاری در سهام و حق تقدم</t>
  </si>
  <si>
    <t>سرمایه‌گذاری در سپرده و گواهی سپرده بانکی</t>
  </si>
  <si>
    <t>سرمایه گذاری در سایر اوراق بهادار با درآمد ثابت یا علی الحساب</t>
  </si>
  <si>
    <t>حساب های دریافتنی</t>
  </si>
  <si>
    <t>جاری کارگزاران</t>
  </si>
  <si>
    <t>سایر دارایی ها</t>
  </si>
  <si>
    <t>موجودی نقد</t>
  </si>
  <si>
    <t>جمع دارایی ها</t>
  </si>
  <si>
    <t>بدهی ها</t>
  </si>
  <si>
    <t>بدهی به ارکان صندوق</t>
  </si>
  <si>
    <t>بدهی به سرمایه گذاران</t>
  </si>
  <si>
    <t>تسهیلات مالی دریافتی</t>
  </si>
  <si>
    <t>سایر حساب های پرداختنی و ذخایر</t>
  </si>
  <si>
    <t>جمع بدهی ها</t>
  </si>
  <si>
    <t>خالص دارایی ها</t>
  </si>
  <si>
    <t>خالص داریی های هر واحد سرمایه گذاری</t>
  </si>
  <si>
    <t>درآمدها:</t>
  </si>
  <si>
    <t>سود (زیان) فروش اوراق بهادار</t>
  </si>
  <si>
    <t>سود (زیان) تحقق نیافته نگهداری اوراق بهادار</t>
  </si>
  <si>
    <t>سود سهام</t>
  </si>
  <si>
    <t>سود اوراق بهادار با درآمد ثابت یا علی‌الحساب</t>
  </si>
  <si>
    <t>سایر درآمدها</t>
  </si>
  <si>
    <t>جمع درآمدها</t>
  </si>
  <si>
    <t>هزینه ها:</t>
  </si>
  <si>
    <t>هزینه کارمزد ارکان</t>
  </si>
  <si>
    <t>سایر هزینه ها</t>
  </si>
  <si>
    <t>جمع هزینه ها</t>
  </si>
  <si>
    <t>سود خالص</t>
  </si>
  <si>
    <t>بازده ميانگين سرمايه‌گذاري (درصد)</t>
  </si>
  <si>
    <t>بازده سرمايه‌گذاري پايان دوره (درصد)</t>
  </si>
  <si>
    <t>خالص دارایی‌ها (واحدهای سرمایه‌گذاری) اول دوره</t>
  </si>
  <si>
    <t>واحدهای سرمایه‌گذاری صادر شده طی دوره</t>
  </si>
  <si>
    <t>واحدهای سرمایه‌گذاری ابطال شده طی دوره</t>
  </si>
  <si>
    <t>سود(زیان)خالص</t>
  </si>
  <si>
    <t>تعدیلات</t>
  </si>
  <si>
    <t>24- تعدیلات</t>
  </si>
  <si>
    <t>خالص تعدیلات صدور و ابطال واحدهای سرمایه گذاری به شرح زیر است:</t>
  </si>
  <si>
    <t>تعدیلات ناشی از صدور واحدهای سرمایه گذاری</t>
  </si>
  <si>
    <t>تعدیلات ناشی از ابطال واحدهای سرمایه گذاری</t>
  </si>
  <si>
    <t>25-تعهدات ، بدهی های احتمالی و دارايي هاي احتمالي</t>
  </si>
  <si>
    <t>در تاريخ خالص دارایی‌ها، صندوق فاقد تعهدات سرمايه اي، بدهي هاي احتمالي و دارايي هاي احتمالي است.</t>
  </si>
  <si>
    <t>26-سرمایه گذاری ارکان و اشخاص وابسته به آنها در صندوق</t>
  </si>
  <si>
    <t>سرمایه گذاری ارکان و اشخاص وابسته به آنها در صندوق به شرح جدول زیر می باشد:</t>
  </si>
  <si>
    <t>اشخاص وابسته</t>
  </si>
  <si>
    <t>نوع وابستگی</t>
  </si>
  <si>
    <t>نوع واحد‌های سرمایه‌گذاری</t>
  </si>
  <si>
    <t>تعداد واحدهای سرمایه‌گذاری</t>
  </si>
  <si>
    <t>درصد تملک</t>
  </si>
  <si>
    <t>درصد
تملک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</si>
</sst>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;\(#,##0\)"/>
  </numFmts>
  <fonts count="11" x14ac:knownFonts="1">
    <font>
      <sz val="11"/>
      <color theme="1"/>
      <name val="Calibri"/>
      <family val="2"/>
      <charset val="178"/>
      <scheme val="minor"/>
    </font>
    <font>
      <b/>
      <sz val="16"/>
      <color theme="1"/>
      <name val="B Nazanin"/>
      <charset val="178"/>
    </font>
    <font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  <font>
      <b/>
      <sz val="13"/>
      <color rgb="FF000000"/>
      <name val="B Nazanin"/>
      <charset val="178"/>
    </font>
    <font>
      <b/>
      <sz val="13"/>
      <color rgb="FF0070C0"/>
      <name val="B Nazanin"/>
      <charset val="178"/>
    </font>
    <font>
      <b/>
      <sz val="13"/>
      <color rgb="FFC00000"/>
      <name val="B Nazanin"/>
      <charset val="178"/>
    </font>
    <font>
      <b/>
      <sz val="13"/>
      <color theme="8" tint="-0.249977111117893"/>
      <name val="B Nazanin"/>
      <charset val="178"/>
    </font>
    <font>
      <sz val="13"/>
      <color rgb="FF000000"/>
      <name val="B Nazanin"/>
      <charset val="178"/>
    </font>
    <font>
      <b/>
      <sz val="16"/>
      <color rgb="FF000000"/>
      <name val="B Nazanin"/>
      <charset val="17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right" vertical="center" readingOrder="2"/>
    </xf>
    <xf numFmtId="0" fontId="5" fillId="0" borderId="0" xfId="0" applyFont="1" applyAlignment="1">
      <alignment horizontal="right" vertical="center" wrapText="1" readingOrder="2"/>
    </xf>
    <xf numFmtId="164" fontId="5" fillId="0" borderId="0" xfId="0" applyNumberFormat="1" applyFont="1" applyAlignment="1">
      <alignment horizontal="center" vertical="center" readingOrder="2"/>
    </xf>
    <xf numFmtId="164" fontId="0" fillId="0" borderId="0" xfId="0" applyNumberFormat="1"/>
    <xf numFmtId="0" fontId="5" fillId="0" borderId="0" xfId="0" applyFont="1" applyAlignment="1">
      <alignment horizontal="right" vertical="center" wrapText="1" readingOrder="2"/>
    </xf>
    <xf numFmtId="0" fontId="5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top" wrapText="1"/>
    </xf>
    <xf numFmtId="165" fontId="5" fillId="0" borderId="0" xfId="0" applyNumberFormat="1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readingOrder="2"/>
    </xf>
    <xf numFmtId="0" fontId="5" fillId="0" borderId="0" xfId="0" applyFont="1" applyAlignment="1">
      <alignment horizontal="right" vertical="center" wrapText="1"/>
    </xf>
    <xf numFmtId="0" fontId="0" fillId="0" borderId="3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right" vertical="top" wrapText="1"/>
    </xf>
    <xf numFmtId="165" fontId="5" fillId="0" borderId="0" xfId="0" applyNumberFormat="1" applyFont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 readingOrder="2"/>
    </xf>
    <xf numFmtId="165" fontId="5" fillId="0" borderId="2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right" vertical="top" wrapText="1"/>
    </xf>
    <xf numFmtId="165" fontId="5" fillId="0" borderId="0" xfId="0" applyNumberFormat="1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165" fontId="9" fillId="0" borderId="2" xfId="0" applyNumberFormat="1" applyFont="1" applyBorder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 readingOrder="2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0" fillId="0" borderId="5" xfId="0" applyBorder="1" applyAlignment="1">
      <alignment horizontal="left"/>
    </xf>
    <xf numFmtId="165" fontId="5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5" fillId="0" borderId="6" xfId="0" applyFont="1" applyBorder="1" applyAlignment="1">
      <alignment horizontal="center" vertical="top" wrapText="1"/>
    </xf>
    <xf numFmtId="3" fontId="9" fillId="0" borderId="3" xfId="0" applyNumberFormat="1" applyFont="1" applyBorder="1" applyAlignment="1">
      <alignment horizontal="left" vertical="center" wrapText="1"/>
    </xf>
    <xf numFmtId="3" fontId="9" fillId="0" borderId="0" xfId="0" applyNumberFormat="1" applyFont="1" applyAlignment="1">
      <alignment horizontal="left" vertical="center" wrapText="1"/>
    </xf>
    <xf numFmtId="3" fontId="9" fillId="0" borderId="2" xfId="0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 readingOrder="2"/>
    </xf>
    <xf numFmtId="165" fontId="9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right" vertical="center" wrapText="1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right" vertical="top" readingOrder="2"/>
    </xf>
    <xf numFmtId="0" fontId="5" fillId="0" borderId="0" xfId="0" applyFont="1" applyAlignment="1">
      <alignment horizontal="right" vertical="top" wrapText="1"/>
    </xf>
    <xf numFmtId="0" fontId="5" fillId="0" borderId="5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readingOrder="2"/>
    </xf>
    <xf numFmtId="165" fontId="5" fillId="0" borderId="0" xfId="0" applyNumberFormat="1" applyFont="1" applyAlignment="1">
      <alignment horizontal="center" vertical="center" wrapText="1"/>
    </xf>
    <xf numFmtId="0" fontId="5" fillId="0" borderId="5" xfId="0" applyFont="1" applyBorder="1" applyAlignment="1">
      <alignment horizontal="right" vertical="top" readingOrder="2"/>
    </xf>
    <xf numFmtId="0" fontId="5" fillId="0" borderId="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 wrapText="1"/>
    </xf>
    <xf numFmtId="165" fontId="9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A7FB-87C2-42BE-B539-85FE6244D89B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135D-93C6-4849-BDA8-F145E0BF9F4A}">
  <dimension ref="A1:G23"/>
  <sheetViews>
    <sheetView rightToLeft="1" topLeftCell="A10" workbookViewId="0">
      <selection activeCell="E15" sqref="E15"/>
    </sheetView>
  </sheetViews>
  <sheetFormatPr defaultRowHeight="14.4" x14ac:dyDescent="0.3"/>
  <cols>
    <col min="1" max="1" width="51.44140625" customWidth="1"/>
    <col min="2" max="2" width="0.33203125" customWidth="1"/>
    <col min="4" max="4" width="0.77734375" customWidth="1"/>
    <col min="5" max="5" width="29.109375" customWidth="1"/>
    <col min="6" max="6" width="0.5546875" customWidth="1"/>
    <col min="7" max="7" width="37.5546875" customWidth="1"/>
  </cols>
  <sheetData>
    <row r="1" spans="1:7" ht="22.2" x14ac:dyDescent="0.3">
      <c r="A1" s="93"/>
      <c r="B1" s="93"/>
      <c r="C1" s="93"/>
      <c r="D1" s="93"/>
      <c r="E1" s="93"/>
      <c r="F1" s="93"/>
      <c r="G1" s="93"/>
    </row>
    <row r="2" spans="1:7" ht="22.2" x14ac:dyDescent="0.3">
      <c r="A2" s="93" t="s">
        <v>137</v>
      </c>
      <c r="B2" s="93"/>
      <c r="C2" s="93"/>
      <c r="D2" s="93"/>
      <c r="E2" s="93"/>
      <c r="F2" s="93"/>
      <c r="G2" s="93"/>
    </row>
    <row r="3" spans="1:7" ht="22.2" x14ac:dyDescent="0.3">
      <c r="A3" s="93"/>
      <c r="B3" s="93"/>
      <c r="C3" s="93"/>
      <c r="D3" s="93"/>
      <c r="E3" s="93"/>
      <c r="F3" s="93"/>
      <c r="G3" s="93"/>
    </row>
    <row r="4" spans="1:7" ht="22.2" customHeight="1" x14ac:dyDescent="0.3">
      <c r="A4" s="4"/>
      <c r="B4" s="4"/>
      <c r="C4" s="11" t="s">
        <v>25</v>
      </c>
      <c r="D4" s="4"/>
      <c r="E4" s="65"/>
      <c r="F4" s="4"/>
      <c r="G4" s="65"/>
    </row>
    <row r="5" spans="1:7" ht="22.2" x14ac:dyDescent="0.3">
      <c r="A5" s="4"/>
      <c r="B5" s="4"/>
      <c r="C5" s="16"/>
      <c r="D5" s="4"/>
      <c r="E5" s="66" t="s">
        <v>26</v>
      </c>
      <c r="F5" s="4"/>
      <c r="G5" s="66" t="s">
        <v>26</v>
      </c>
    </row>
    <row r="6" spans="1:7" ht="27" x14ac:dyDescent="0.3">
      <c r="A6" s="82" t="s">
        <v>138</v>
      </c>
      <c r="B6" s="4"/>
      <c r="C6" s="4"/>
      <c r="D6" s="4"/>
      <c r="E6" s="4"/>
      <c r="F6" s="4"/>
      <c r="G6" s="4"/>
    </row>
    <row r="7" spans="1:7" ht="24" customHeight="1" x14ac:dyDescent="0.3">
      <c r="A7" s="67" t="s">
        <v>139</v>
      </c>
      <c r="B7" s="4"/>
      <c r="C7" s="79">
        <v>5</v>
      </c>
      <c r="D7" s="4"/>
      <c r="E7" s="68">
        <v>0</v>
      </c>
      <c r="F7" s="4"/>
      <c r="G7" s="68">
        <v>0</v>
      </c>
    </row>
    <row r="8" spans="1:7" ht="22.2" x14ac:dyDescent="0.3">
      <c r="A8" s="67" t="s">
        <v>140</v>
      </c>
      <c r="B8" s="4"/>
      <c r="C8" s="79">
        <v>6</v>
      </c>
      <c r="D8" s="4"/>
      <c r="E8" s="68">
        <v>0</v>
      </c>
      <c r="F8" s="4"/>
      <c r="G8" s="68">
        <v>0</v>
      </c>
    </row>
    <row r="9" spans="1:7" ht="22.2" x14ac:dyDescent="0.3">
      <c r="A9" s="78" t="s">
        <v>141</v>
      </c>
      <c r="B9" s="4"/>
      <c r="C9" s="79">
        <v>7</v>
      </c>
      <c r="D9" s="4"/>
      <c r="E9" s="68">
        <v>0</v>
      </c>
      <c r="F9" s="4"/>
      <c r="G9" s="68">
        <v>0</v>
      </c>
    </row>
    <row r="10" spans="1:7" ht="22.2" x14ac:dyDescent="0.3">
      <c r="A10" s="78" t="s">
        <v>142</v>
      </c>
      <c r="B10" s="4"/>
      <c r="C10" s="79">
        <v>8</v>
      </c>
      <c r="D10" s="4"/>
      <c r="E10" s="68">
        <v>0</v>
      </c>
      <c r="F10" s="4"/>
      <c r="G10" s="68">
        <v>0</v>
      </c>
    </row>
    <row r="11" spans="1:7" ht="22.2" x14ac:dyDescent="0.3">
      <c r="A11" s="78" t="s">
        <v>143</v>
      </c>
      <c r="B11" s="4"/>
      <c r="C11" s="79">
        <v>9</v>
      </c>
      <c r="D11" s="4"/>
      <c r="E11" s="68">
        <v>0</v>
      </c>
      <c r="F11" s="4"/>
      <c r="G11" s="68">
        <v>0</v>
      </c>
    </row>
    <row r="12" spans="1:7" ht="22.2" x14ac:dyDescent="0.3">
      <c r="A12" s="78" t="s">
        <v>144</v>
      </c>
      <c r="B12" s="4"/>
      <c r="C12" s="79">
        <v>10</v>
      </c>
      <c r="D12" s="4"/>
      <c r="E12" s="68">
        <v>0</v>
      </c>
      <c r="F12" s="4"/>
      <c r="G12" s="68">
        <v>0</v>
      </c>
    </row>
    <row r="13" spans="1:7" ht="22.2" x14ac:dyDescent="0.3">
      <c r="A13" s="78" t="s">
        <v>145</v>
      </c>
      <c r="B13" s="4"/>
      <c r="C13" s="79">
        <v>11</v>
      </c>
      <c r="D13" s="4"/>
      <c r="E13" s="63">
        <v>0</v>
      </c>
      <c r="F13" s="4"/>
      <c r="G13" s="63">
        <v>0</v>
      </c>
    </row>
    <row r="14" spans="1:7" ht="22.8" thickBot="1" x14ac:dyDescent="0.35">
      <c r="A14" s="78" t="s">
        <v>146</v>
      </c>
      <c r="B14" s="4"/>
      <c r="C14" s="4"/>
      <c r="D14" s="4"/>
      <c r="E14" s="64">
        <f>SUM(E7:E13)</f>
        <v>0</v>
      </c>
      <c r="F14" s="4"/>
      <c r="G14" s="64">
        <f>SUM(G7:G13)</f>
        <v>0</v>
      </c>
    </row>
    <row r="15" spans="1:7" ht="27.6" thickTop="1" x14ac:dyDescent="0.3">
      <c r="A15" s="82" t="s">
        <v>147</v>
      </c>
      <c r="B15" s="4"/>
      <c r="C15" s="4"/>
      <c r="D15" s="4"/>
      <c r="E15" s="80"/>
      <c r="F15" s="4"/>
      <c r="G15" s="80"/>
    </row>
    <row r="16" spans="1:7" ht="22.2" x14ac:dyDescent="0.3">
      <c r="A16" s="78" t="s">
        <v>143</v>
      </c>
      <c r="B16" s="4"/>
      <c r="C16" s="79">
        <v>9</v>
      </c>
      <c r="D16" s="4"/>
      <c r="E16" s="68">
        <v>0</v>
      </c>
      <c r="F16" s="4"/>
      <c r="G16" s="68">
        <v>0</v>
      </c>
    </row>
    <row r="17" spans="1:7" ht="22.2" x14ac:dyDescent="0.3">
      <c r="A17" s="78" t="s">
        <v>148</v>
      </c>
      <c r="B17" s="4"/>
      <c r="C17" s="79">
        <v>12</v>
      </c>
      <c r="D17" s="4"/>
      <c r="E17" s="68">
        <v>0</v>
      </c>
      <c r="F17" s="4"/>
      <c r="G17" s="68">
        <v>0</v>
      </c>
    </row>
    <row r="18" spans="1:7" ht="22.2" x14ac:dyDescent="0.3">
      <c r="A18" s="78" t="s">
        <v>149</v>
      </c>
      <c r="B18" s="4"/>
      <c r="C18" s="79">
        <v>13</v>
      </c>
      <c r="D18" s="4"/>
      <c r="E18" s="68">
        <v>0</v>
      </c>
      <c r="F18" s="4"/>
      <c r="G18" s="68">
        <v>0</v>
      </c>
    </row>
    <row r="19" spans="1:7" ht="22.2" x14ac:dyDescent="0.3">
      <c r="A19" s="78" t="s">
        <v>150</v>
      </c>
      <c r="B19" s="4"/>
      <c r="C19" s="79">
        <v>14</v>
      </c>
      <c r="D19" s="4"/>
      <c r="E19" s="68">
        <v>0</v>
      </c>
      <c r="F19" s="4"/>
      <c r="G19" s="68">
        <v>0</v>
      </c>
    </row>
    <row r="20" spans="1:7" ht="22.2" x14ac:dyDescent="0.3">
      <c r="A20" s="78" t="s">
        <v>151</v>
      </c>
      <c r="B20" s="4"/>
      <c r="C20" s="79">
        <v>15</v>
      </c>
      <c r="D20" s="4"/>
      <c r="E20" s="68">
        <v>0</v>
      </c>
      <c r="F20" s="4"/>
      <c r="G20" s="68">
        <v>0</v>
      </c>
    </row>
    <row r="21" spans="1:7" ht="22.2" x14ac:dyDescent="0.3">
      <c r="A21" s="78" t="s">
        <v>152</v>
      </c>
      <c r="B21" s="4"/>
      <c r="C21" s="4"/>
      <c r="D21" s="4"/>
      <c r="E21" s="63">
        <f>SUM(E16:E20)</f>
        <v>0</v>
      </c>
      <c r="F21" s="4"/>
      <c r="G21" s="63">
        <f>SUM(G16:G20)</f>
        <v>0</v>
      </c>
    </row>
    <row r="22" spans="1:7" ht="22.8" thickBot="1" x14ac:dyDescent="0.35">
      <c r="A22" s="78" t="s">
        <v>153</v>
      </c>
      <c r="B22" s="4"/>
      <c r="C22" s="79">
        <v>16</v>
      </c>
      <c r="D22" s="4"/>
      <c r="E22" s="64">
        <f>E14-E21</f>
        <v>0</v>
      </c>
      <c r="F22" s="4"/>
      <c r="G22" s="64">
        <f>G14-G21</f>
        <v>0</v>
      </c>
    </row>
    <row r="23" spans="1:7" ht="22.8" thickTop="1" x14ac:dyDescent="0.3">
      <c r="A23" s="78" t="s">
        <v>154</v>
      </c>
      <c r="B23" s="4"/>
      <c r="C23" s="4"/>
      <c r="D23" s="4"/>
      <c r="E23" s="81">
        <f>E22/1384048</f>
        <v>0</v>
      </c>
      <c r="F23" s="4"/>
      <c r="G23" s="81">
        <f>G22/1636102</f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3BEC-AF47-4544-8C53-867571FCAC1C}">
  <dimension ref="A1:K27"/>
  <sheetViews>
    <sheetView rightToLeft="1" tabSelected="1" workbookViewId="0">
      <selection activeCell="K15" sqref="K15"/>
    </sheetView>
  </sheetViews>
  <sheetFormatPr defaultRowHeight="14.4" x14ac:dyDescent="0.3"/>
  <cols>
    <col min="1" max="1" width="41.109375" customWidth="1"/>
    <col min="2" max="2" width="0.6640625" customWidth="1"/>
    <col min="3" max="3" width="12.109375" customWidth="1"/>
    <col min="4" max="4" width="0.77734375" customWidth="1"/>
    <col min="5" max="5" width="15.33203125" customWidth="1"/>
    <col min="6" max="6" width="1" customWidth="1"/>
    <col min="7" max="7" width="25" customWidth="1"/>
    <col min="8" max="8" width="0.6640625" customWidth="1"/>
    <col min="9" max="9" width="17.6640625" customWidth="1"/>
    <col min="10" max="10" width="0.5546875" customWidth="1"/>
    <col min="11" max="11" width="28" customWidth="1"/>
  </cols>
  <sheetData>
    <row r="1" spans="1:11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ht="22.2" x14ac:dyDescent="0.3">
      <c r="A2" s="93" t="s">
        <v>137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1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</row>
    <row r="4" spans="1:11" ht="22.2" x14ac:dyDescent="0.3">
      <c r="A4" s="4"/>
      <c r="B4" s="4"/>
      <c r="C4" s="69" t="s">
        <v>25</v>
      </c>
      <c r="D4" s="4"/>
      <c r="E4" s="4"/>
      <c r="F4" s="4"/>
      <c r="G4" s="69"/>
      <c r="H4" s="4"/>
      <c r="I4" s="4"/>
      <c r="J4" s="4"/>
      <c r="K4" s="69"/>
    </row>
    <row r="5" spans="1:11" ht="27" x14ac:dyDescent="0.3">
      <c r="A5" s="91" t="s">
        <v>155</v>
      </c>
      <c r="B5" s="4"/>
      <c r="C5" s="16"/>
      <c r="D5" s="4"/>
      <c r="E5" s="4"/>
      <c r="F5" s="4"/>
      <c r="G5" s="16"/>
      <c r="H5" s="4"/>
      <c r="I5" s="4"/>
      <c r="J5" s="4"/>
      <c r="K5" s="16"/>
    </row>
    <row r="6" spans="1:11" ht="22.2" x14ac:dyDescent="0.3">
      <c r="A6" s="62" t="s">
        <v>156</v>
      </c>
      <c r="B6" s="4"/>
      <c r="C6" s="83">
        <v>17</v>
      </c>
      <c r="D6" s="4"/>
      <c r="E6" s="4"/>
      <c r="F6" s="4"/>
      <c r="G6" s="55">
        <v>0</v>
      </c>
      <c r="H6" s="4"/>
      <c r="I6" s="4"/>
      <c r="J6" s="4"/>
      <c r="K6" s="83">
        <v>0</v>
      </c>
    </row>
    <row r="7" spans="1:11" ht="22.2" x14ac:dyDescent="0.3">
      <c r="A7" s="62" t="s">
        <v>157</v>
      </c>
      <c r="B7" s="4"/>
      <c r="C7" s="83">
        <v>18</v>
      </c>
      <c r="D7" s="4"/>
      <c r="E7" s="4"/>
      <c r="F7" s="4"/>
      <c r="G7" s="68">
        <v>0</v>
      </c>
      <c r="H7" s="4"/>
      <c r="I7" s="4"/>
      <c r="J7" s="4"/>
      <c r="K7" s="83">
        <v>0</v>
      </c>
    </row>
    <row r="8" spans="1:11" ht="22.2" x14ac:dyDescent="0.3">
      <c r="A8" s="62" t="s">
        <v>158</v>
      </c>
      <c r="B8" s="4"/>
      <c r="C8" s="83">
        <v>19</v>
      </c>
      <c r="D8" s="4"/>
      <c r="E8" s="4"/>
      <c r="F8" s="4"/>
      <c r="G8" s="68">
        <v>0</v>
      </c>
      <c r="H8" s="4"/>
      <c r="I8" s="4"/>
      <c r="J8" s="4"/>
      <c r="K8" s="83">
        <v>0</v>
      </c>
    </row>
    <row r="9" spans="1:11" ht="22.2" x14ac:dyDescent="0.3">
      <c r="A9" s="62" t="s">
        <v>159</v>
      </c>
      <c r="B9" s="4"/>
      <c r="C9" s="83">
        <v>20</v>
      </c>
      <c r="D9" s="4"/>
      <c r="E9" s="4"/>
      <c r="F9" s="4"/>
      <c r="G9" s="68">
        <v>0</v>
      </c>
      <c r="H9" s="4"/>
      <c r="I9" s="4"/>
      <c r="J9" s="4"/>
      <c r="K9" s="83">
        <v>0</v>
      </c>
    </row>
    <row r="10" spans="1:11" ht="22.2" x14ac:dyDescent="0.3">
      <c r="A10" s="62" t="s">
        <v>160</v>
      </c>
      <c r="B10" s="4"/>
      <c r="C10" s="83">
        <v>21</v>
      </c>
      <c r="D10" s="4"/>
      <c r="E10" s="4"/>
      <c r="F10" s="4"/>
      <c r="G10" s="63">
        <v>0</v>
      </c>
      <c r="H10" s="4"/>
      <c r="I10" s="4"/>
      <c r="J10" s="4"/>
      <c r="K10" s="84">
        <v>0</v>
      </c>
    </row>
    <row r="11" spans="1:11" ht="22.8" thickBot="1" x14ac:dyDescent="0.35">
      <c r="A11" s="62" t="s">
        <v>161</v>
      </c>
      <c r="B11" s="4"/>
      <c r="C11" s="4"/>
      <c r="D11" s="4"/>
      <c r="E11" s="4"/>
      <c r="F11" s="4"/>
      <c r="G11" s="64">
        <f>SUM(G6:G10)</f>
        <v>0</v>
      </c>
      <c r="H11" s="4"/>
      <c r="I11" s="4"/>
      <c r="J11" s="4"/>
      <c r="K11" s="47">
        <f>SUM(K6:K10)</f>
        <v>0</v>
      </c>
    </row>
    <row r="12" spans="1:11" ht="27.6" thickTop="1" x14ac:dyDescent="0.3">
      <c r="A12" s="91" t="s">
        <v>162</v>
      </c>
      <c r="B12" s="4"/>
      <c r="C12" s="4"/>
      <c r="D12" s="4"/>
      <c r="E12" s="4"/>
      <c r="F12" s="4"/>
      <c r="G12" s="80"/>
      <c r="H12" s="4"/>
      <c r="I12" s="4"/>
      <c r="J12" s="4"/>
      <c r="K12" s="80"/>
    </row>
    <row r="13" spans="1:11" ht="22.2" x14ac:dyDescent="0.3">
      <c r="A13" s="62" t="s">
        <v>163</v>
      </c>
      <c r="B13" s="4"/>
      <c r="C13" s="83">
        <v>22</v>
      </c>
      <c r="D13" s="4"/>
      <c r="E13" s="4"/>
      <c r="F13" s="4"/>
      <c r="G13" s="68">
        <v>0</v>
      </c>
      <c r="H13" s="4"/>
      <c r="I13" s="4"/>
      <c r="J13" s="4"/>
      <c r="K13" s="83">
        <v>0</v>
      </c>
    </row>
    <row r="14" spans="1:11" ht="22.2" x14ac:dyDescent="0.3">
      <c r="A14" s="62" t="s">
        <v>164</v>
      </c>
      <c r="B14" s="4"/>
      <c r="C14" s="83">
        <v>23</v>
      </c>
      <c r="D14" s="4"/>
      <c r="E14" s="4"/>
      <c r="F14" s="4"/>
      <c r="G14" s="68">
        <v>0</v>
      </c>
      <c r="H14" s="4"/>
      <c r="I14" s="4"/>
      <c r="J14" s="4"/>
      <c r="K14" s="83">
        <v>0</v>
      </c>
    </row>
    <row r="15" spans="1:11" ht="22.2" x14ac:dyDescent="0.3">
      <c r="A15" s="62" t="s">
        <v>165</v>
      </c>
      <c r="B15" s="4"/>
      <c r="C15" s="4"/>
      <c r="D15" s="4"/>
      <c r="E15" s="4"/>
      <c r="F15" s="4"/>
      <c r="G15" s="63">
        <f>SUM(G13:G14)</f>
        <v>0</v>
      </c>
      <c r="H15" s="4"/>
      <c r="I15" s="4"/>
      <c r="J15" s="4"/>
      <c r="K15" s="84">
        <f>SUM(K13:K14)</f>
        <v>0</v>
      </c>
    </row>
    <row r="16" spans="1:11" ht="22.8" thickBot="1" x14ac:dyDescent="0.35">
      <c r="A16" s="62" t="s">
        <v>166</v>
      </c>
      <c r="B16" s="4"/>
      <c r="C16" s="4"/>
      <c r="D16" s="4"/>
      <c r="E16" s="4"/>
      <c r="F16" s="4"/>
      <c r="G16" s="64">
        <f>G11-G15</f>
        <v>0</v>
      </c>
      <c r="H16" s="4"/>
      <c r="I16" s="4"/>
      <c r="J16" s="4"/>
      <c r="K16" s="47">
        <f>K11-K15</f>
        <v>0</v>
      </c>
    </row>
    <row r="17" spans="1:11" ht="22.8" thickTop="1" x14ac:dyDescent="0.3">
      <c r="A17" s="62" t="s">
        <v>167</v>
      </c>
      <c r="B17" s="4"/>
      <c r="C17" s="4"/>
      <c r="D17" s="4"/>
      <c r="E17" s="4"/>
      <c r="F17" s="4"/>
      <c r="G17" s="85">
        <f>G16/641695417325.671</f>
        <v>0</v>
      </c>
      <c r="H17" s="4"/>
      <c r="I17" s="4"/>
      <c r="J17" s="4"/>
      <c r="K17" s="85">
        <f>K16/692638089977.449</f>
        <v>0</v>
      </c>
    </row>
    <row r="18" spans="1:11" ht="22.2" x14ac:dyDescent="0.3">
      <c r="A18" s="62" t="s">
        <v>168</v>
      </c>
      <c r="B18" s="4"/>
      <c r="C18" s="4"/>
      <c r="D18" s="4"/>
      <c r="E18" s="4"/>
      <c r="F18" s="4"/>
      <c r="G18" s="86">
        <f>(G16 +113446470)
/602586738025</f>
        <v>1.8826579285801233E-4</v>
      </c>
      <c r="H18" s="4"/>
      <c r="I18" s="4"/>
      <c r="J18" s="4"/>
      <c r="K18" s="86">
        <f>(K16+6257567207 )
/619483264286</f>
        <v>1.0101269183134925E-2</v>
      </c>
    </row>
    <row r="19" spans="1:11" ht="22.2" x14ac:dyDescent="0.3">
      <c r="A19" s="4"/>
      <c r="B19" s="4"/>
      <c r="C19" s="11" t="s">
        <v>25</v>
      </c>
      <c r="D19" s="4"/>
      <c r="E19" s="94" t="s">
        <v>97</v>
      </c>
      <c r="F19" s="94"/>
      <c r="G19" s="94"/>
      <c r="H19" s="4"/>
      <c r="I19" s="94" t="s">
        <v>41</v>
      </c>
      <c r="J19" s="94"/>
      <c r="K19" s="94"/>
    </row>
    <row r="20" spans="1:11" ht="22.2" x14ac:dyDescent="0.3">
      <c r="A20" s="4"/>
      <c r="B20" s="4"/>
      <c r="C20" s="16"/>
      <c r="D20" s="4"/>
      <c r="E20" s="87" t="s">
        <v>5</v>
      </c>
      <c r="F20" s="16"/>
      <c r="G20" s="87" t="s">
        <v>26</v>
      </c>
      <c r="H20" s="4"/>
      <c r="I20" s="87" t="s">
        <v>5</v>
      </c>
      <c r="J20" s="16"/>
      <c r="K20" s="87" t="s">
        <v>26</v>
      </c>
    </row>
    <row r="21" spans="1:11" ht="20.399999999999999" x14ac:dyDescent="0.3">
      <c r="A21" s="70" t="s">
        <v>169</v>
      </c>
      <c r="B21" s="4"/>
      <c r="C21" s="4"/>
      <c r="D21" s="4"/>
      <c r="E21" s="88">
        <v>1636102</v>
      </c>
      <c r="F21" s="4"/>
      <c r="G21" s="88">
        <v>619483264286</v>
      </c>
      <c r="H21" s="4"/>
      <c r="I21" s="88">
        <v>30179</v>
      </c>
      <c r="J21" s="4"/>
      <c r="K21" s="88">
        <v>717379894772</v>
      </c>
    </row>
    <row r="22" spans="1:11" ht="20.399999999999999" x14ac:dyDescent="0.3">
      <c r="A22" s="70" t="s">
        <v>170</v>
      </c>
      <c r="B22" s="4"/>
      <c r="C22" s="4"/>
      <c r="D22" s="4"/>
      <c r="E22" s="89">
        <v>34206</v>
      </c>
      <c r="F22" s="4"/>
      <c r="G22" s="89">
        <v>342060000</v>
      </c>
      <c r="H22" s="4"/>
      <c r="I22" s="89">
        <v>175354</v>
      </c>
      <c r="J22" s="4"/>
      <c r="K22" s="89">
        <v>135083770000</v>
      </c>
    </row>
    <row r="23" spans="1:11" ht="20.399999999999999" x14ac:dyDescent="0.3">
      <c r="A23" s="70" t="s">
        <v>171</v>
      </c>
      <c r="B23" s="4"/>
      <c r="C23" s="4"/>
      <c r="D23" s="4"/>
      <c r="E23" s="89">
        <v>-286260</v>
      </c>
      <c r="F23" s="4"/>
      <c r="G23" s="89">
        <v>-2862600000</v>
      </c>
      <c r="H23" s="4"/>
      <c r="I23" s="89">
        <v>-1455677</v>
      </c>
      <c r="J23" s="4"/>
      <c r="K23" s="89">
        <v>-132246980000</v>
      </c>
    </row>
    <row r="24" spans="1:11" ht="20.399999999999999" x14ac:dyDescent="0.3">
      <c r="A24" s="70" t="s">
        <v>172</v>
      </c>
      <c r="B24" s="4"/>
      <c r="C24" s="4"/>
      <c r="D24" s="4"/>
      <c r="E24" s="89">
        <v>0</v>
      </c>
      <c r="F24" s="4"/>
      <c r="G24" s="89">
        <v>91226161226</v>
      </c>
      <c r="H24" s="4"/>
      <c r="I24" s="89">
        <v>0</v>
      </c>
      <c r="J24" s="4"/>
      <c r="K24" s="89">
        <v>293760610089</v>
      </c>
    </row>
    <row r="25" spans="1:11" ht="20.399999999999999" x14ac:dyDescent="0.3">
      <c r="A25" s="70" t="s">
        <v>173</v>
      </c>
      <c r="B25" s="4"/>
      <c r="C25" s="4"/>
      <c r="D25" s="4"/>
      <c r="E25" s="90">
        <v>0</v>
      </c>
      <c r="F25" s="4"/>
      <c r="G25" s="90">
        <v>-105602147487</v>
      </c>
      <c r="H25" s="4"/>
      <c r="I25" s="90">
        <v>0</v>
      </c>
      <c r="J25" s="4"/>
      <c r="K25" s="90">
        <v>-394494030575</v>
      </c>
    </row>
    <row r="26" spans="1:11" ht="22.8" thickBot="1" x14ac:dyDescent="0.35">
      <c r="A26" s="4"/>
      <c r="B26" s="4"/>
      <c r="C26" s="4"/>
      <c r="D26" s="4"/>
      <c r="E26" s="47">
        <v>1384048</v>
      </c>
      <c r="F26" s="4"/>
      <c r="G26" s="47">
        <v>602586738025</v>
      </c>
      <c r="H26" s="4"/>
      <c r="I26" s="47">
        <v>-1250144</v>
      </c>
      <c r="J26" s="4"/>
      <c r="K26" s="47">
        <v>619483264286</v>
      </c>
    </row>
    <row r="27" spans="1:11" ht="15" thickTop="1" x14ac:dyDescent="0.3"/>
  </sheetData>
  <mergeCells count="5">
    <mergeCell ref="A1:K1"/>
    <mergeCell ref="A2:K2"/>
    <mergeCell ref="A3:K3"/>
    <mergeCell ref="E19:G19"/>
    <mergeCell ref="I19:K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0D1C-C266-43B6-A9E6-1CEE4444909C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33C0-FD11-406A-AEDD-4F2985AD1D84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93E3-024C-488B-A020-46D3EFE3B44A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692A-7530-4156-B477-222C675A892A}">
  <dimension ref="A1:N144"/>
  <sheetViews>
    <sheetView rightToLeft="1" workbookViewId="0">
      <selection sqref="A1:N1"/>
    </sheetView>
  </sheetViews>
  <sheetFormatPr defaultRowHeight="14.4" x14ac:dyDescent="0.3"/>
  <cols>
    <col min="1" max="1" width="45" customWidth="1"/>
    <col min="2" max="2" width="1.44140625" customWidth="1"/>
    <col min="3" max="3" width="20.6640625" style="9" customWidth="1"/>
    <col min="4" max="4" width="0.88671875" customWidth="1"/>
    <col min="5" max="5" width="20.88671875" style="9" customWidth="1"/>
    <col min="6" max="6" width="1.109375" customWidth="1"/>
    <col min="7" max="7" width="28.33203125" customWidth="1"/>
    <col min="8" max="8" width="1" customWidth="1"/>
    <col min="9" max="9" width="29" style="9" customWidth="1"/>
    <col min="10" max="10" width="0.6640625" customWidth="1"/>
    <col min="11" max="11" width="21.5546875" style="9" customWidth="1"/>
    <col min="12" max="12" width="1" customWidth="1"/>
    <col min="13" max="13" width="18.5546875" customWidth="1"/>
  </cols>
  <sheetData>
    <row r="1" spans="1:14" s="4" customFormat="1" ht="17.399999999999999" customHeight="1" x14ac:dyDescent="0.3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4" s="4" customFormat="1" ht="16.649999999999999" customHeight="1" x14ac:dyDescent="0.3">
      <c r="A2" s="97" t="s">
        <v>14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</row>
    <row r="3" spans="1:14" s="4" customFormat="1" ht="17.399999999999999" customHeight="1" x14ac:dyDescent="0.3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</row>
    <row r="4" spans="1:14" s="4" customFormat="1" ht="22.5" customHeight="1" x14ac:dyDescent="0.3">
      <c r="A4" s="95" t="s">
        <v>15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</row>
    <row r="5" spans="1:14" s="4" customFormat="1" ht="17.399999999999999" customHeight="1" x14ac:dyDescent="0.3">
      <c r="A5" s="95" t="s">
        <v>16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1:14" s="4" customFormat="1" ht="23.4" customHeight="1" x14ac:dyDescent="0.3">
      <c r="A6" s="95"/>
      <c r="B6" s="95"/>
      <c r="C6" s="96"/>
      <c r="D6" s="96"/>
      <c r="E6" s="96"/>
      <c r="F6" s="96"/>
      <c r="G6" s="96"/>
      <c r="H6" s="7"/>
      <c r="I6" s="96"/>
      <c r="J6" s="96"/>
      <c r="K6" s="96"/>
      <c r="L6" s="96"/>
      <c r="M6" s="96"/>
      <c r="N6" s="7"/>
    </row>
    <row r="7" spans="1:14" s="4" customFormat="1" ht="16.649999999999999" customHeight="1" x14ac:dyDescent="0.3">
      <c r="A7" s="5" t="s">
        <v>17</v>
      </c>
      <c r="C7" s="8" t="s">
        <v>18</v>
      </c>
      <c r="E7" s="8" t="s">
        <v>19</v>
      </c>
      <c r="G7" s="5" t="s">
        <v>20</v>
      </c>
      <c r="I7" s="8" t="s">
        <v>21</v>
      </c>
      <c r="K7" s="8" t="s">
        <v>22</v>
      </c>
      <c r="M7" s="6" t="s">
        <v>20</v>
      </c>
    </row>
    <row r="8" spans="1:14" x14ac:dyDescent="0.3">
      <c r="C8"/>
      <c r="E8"/>
      <c r="I8"/>
      <c r="K8"/>
    </row>
    <row r="9" spans="1:14" x14ac:dyDescent="0.3">
      <c r="C9"/>
      <c r="E9"/>
      <c r="I9"/>
      <c r="K9"/>
    </row>
    <row r="10" spans="1:14" x14ac:dyDescent="0.3">
      <c r="C10"/>
      <c r="E10"/>
      <c r="I10"/>
      <c r="K10"/>
    </row>
    <row r="11" spans="1:14" x14ac:dyDescent="0.3">
      <c r="C11"/>
      <c r="E11"/>
      <c r="I11"/>
      <c r="K11"/>
    </row>
    <row r="12" spans="1:14" x14ac:dyDescent="0.3">
      <c r="C12"/>
      <c r="E12"/>
      <c r="I12"/>
      <c r="K12"/>
    </row>
    <row r="13" spans="1:14" x14ac:dyDescent="0.3">
      <c r="C13"/>
      <c r="E13"/>
      <c r="I13"/>
      <c r="K13"/>
    </row>
    <row r="14" spans="1:14" x14ac:dyDescent="0.3">
      <c r="C14"/>
      <c r="E14"/>
      <c r="I14"/>
      <c r="K14"/>
    </row>
    <row r="15" spans="1:14" x14ac:dyDescent="0.3">
      <c r="C15"/>
      <c r="E15"/>
      <c r="I15"/>
      <c r="K15"/>
    </row>
    <row r="16" spans="1:14" x14ac:dyDescent="0.3">
      <c r="C16"/>
      <c r="E16"/>
      <c r="I16"/>
      <c r="K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</sheetData>
  <mergeCells count="8">
    <mergeCell ref="A6:B6"/>
    <mergeCell ref="C6:G6"/>
    <mergeCell ref="I6:M6"/>
    <mergeCell ref="A1:N1"/>
    <mergeCell ref="A2:N2"/>
    <mergeCell ref="A3:N3"/>
    <mergeCell ref="A4:N4"/>
    <mergeCell ref="A5:N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D933-9AD5-4640-958E-C00F216FAEE3}">
  <dimension ref="A1:Q13"/>
  <sheetViews>
    <sheetView rightToLeft="1" workbookViewId="0">
      <selection activeCell="M11" sqref="M11:O11"/>
    </sheetView>
  </sheetViews>
  <sheetFormatPr defaultRowHeight="14.4" x14ac:dyDescent="0.3"/>
  <cols>
    <col min="1" max="1" width="46.6640625" customWidth="1"/>
    <col min="2" max="2" width="0.5546875" customWidth="1"/>
    <col min="3" max="3" width="14.21875" customWidth="1"/>
    <col min="4" max="4" width="0.6640625" customWidth="1"/>
    <col min="5" max="5" width="14.77734375" customWidth="1"/>
    <col min="6" max="6" width="0.44140625" customWidth="1"/>
    <col min="7" max="7" width="12.109375" customWidth="1"/>
    <col min="8" max="8" width="0.5546875" customWidth="1"/>
    <col min="9" max="9" width="20.33203125" customWidth="1"/>
    <col min="10" max="10" width="0.5546875" customWidth="1"/>
    <col min="11" max="11" width="19.5546875" customWidth="1"/>
    <col min="12" max="12" width="0.44140625" customWidth="1"/>
    <col min="13" max="13" width="17.6640625" customWidth="1"/>
    <col min="14" max="14" width="0.44140625" customWidth="1"/>
    <col min="15" max="15" width="15.77734375" customWidth="1"/>
    <col min="16" max="16" width="0.6640625" customWidth="1"/>
    <col min="17" max="17" width="19.33203125" customWidth="1"/>
  </cols>
  <sheetData>
    <row r="1" spans="1:17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42"/>
      <c r="Q1" s="42"/>
    </row>
    <row r="2" spans="1:17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1:17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</row>
    <row r="4" spans="1:17" ht="22.2" customHeight="1" x14ac:dyDescent="0.3">
      <c r="A4" s="95" t="s">
        <v>96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</row>
    <row r="5" spans="1:17" ht="22.2" customHeight="1" x14ac:dyDescent="0.3">
      <c r="A5" s="4"/>
      <c r="B5" s="4"/>
      <c r="C5" s="4"/>
      <c r="D5" s="4"/>
      <c r="E5" s="4"/>
      <c r="F5" s="4"/>
      <c r="G5" s="11" t="s">
        <v>25</v>
      </c>
      <c r="H5" s="4"/>
      <c r="I5" s="94"/>
      <c r="J5" s="94"/>
      <c r="K5" s="94"/>
      <c r="L5" s="4"/>
      <c r="M5" s="94"/>
      <c r="N5" s="94"/>
      <c r="O5" s="94"/>
    </row>
    <row r="6" spans="1:17" ht="22.2" x14ac:dyDescent="0.3">
      <c r="A6" s="4"/>
      <c r="B6" s="4"/>
      <c r="C6" s="4"/>
      <c r="D6" s="4"/>
      <c r="E6" s="4"/>
      <c r="F6" s="4"/>
      <c r="G6" s="16"/>
      <c r="H6" s="4"/>
      <c r="I6" s="100" t="s">
        <v>26</v>
      </c>
      <c r="J6" s="100"/>
      <c r="K6" s="100"/>
      <c r="L6" s="4"/>
      <c r="M6" s="100" t="s">
        <v>26</v>
      </c>
      <c r="N6" s="100"/>
      <c r="O6" s="100"/>
    </row>
    <row r="7" spans="1:17" ht="22.2" customHeight="1" x14ac:dyDescent="0.3">
      <c r="A7" s="102" t="s">
        <v>98</v>
      </c>
      <c r="B7" s="102"/>
      <c r="C7" s="102"/>
      <c r="D7" s="102"/>
      <c r="E7" s="102"/>
      <c r="F7" s="4"/>
      <c r="G7" s="41" t="s">
        <v>99</v>
      </c>
      <c r="H7" s="4"/>
      <c r="I7" s="98">
        <v>0</v>
      </c>
      <c r="J7" s="98"/>
      <c r="K7" s="98"/>
      <c r="L7" s="4"/>
      <c r="M7" s="98">
        <v>0</v>
      </c>
      <c r="N7" s="98"/>
      <c r="O7" s="98"/>
    </row>
    <row r="8" spans="1:17" ht="22.2" customHeight="1" x14ac:dyDescent="0.3">
      <c r="A8" s="102" t="s">
        <v>100</v>
      </c>
      <c r="B8" s="102"/>
      <c r="C8" s="102"/>
      <c r="D8" s="102"/>
      <c r="E8" s="102"/>
      <c r="F8" s="4"/>
      <c r="G8" s="41" t="s">
        <v>101</v>
      </c>
      <c r="H8" s="4"/>
      <c r="I8" s="98">
        <v>0</v>
      </c>
      <c r="J8" s="98"/>
      <c r="K8" s="98"/>
      <c r="L8" s="4"/>
      <c r="M8" s="98">
        <v>0</v>
      </c>
      <c r="N8" s="98"/>
      <c r="O8" s="98"/>
    </row>
    <row r="9" spans="1:17" ht="22.8" thickBot="1" x14ac:dyDescent="0.35">
      <c r="A9" s="4"/>
      <c r="B9" s="4"/>
      <c r="C9" s="4"/>
      <c r="D9" s="4"/>
      <c r="E9" s="4"/>
      <c r="F9" s="4"/>
      <c r="G9" s="4"/>
      <c r="H9" s="4"/>
      <c r="I9" s="99">
        <f>SUM(I7:K8)</f>
        <v>0</v>
      </c>
      <c r="J9" s="99"/>
      <c r="K9" s="99"/>
      <c r="L9" s="4"/>
      <c r="M9" s="99">
        <f>SUM(M7:O8)</f>
        <v>0</v>
      </c>
      <c r="N9" s="99"/>
      <c r="O9" s="99"/>
    </row>
    <row r="10" spans="1:17" ht="22.8" thickTop="1" x14ac:dyDescent="0.3">
      <c r="A10" s="101" t="s">
        <v>102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</row>
    <row r="11" spans="1:17" ht="22.2" x14ac:dyDescent="0.3">
      <c r="A11" s="4"/>
      <c r="B11" s="4"/>
      <c r="C11" s="94"/>
      <c r="D11" s="94"/>
      <c r="E11" s="94"/>
      <c r="F11" s="94"/>
      <c r="G11" s="94"/>
      <c r="H11" s="94"/>
      <c r="I11" s="94"/>
      <c r="J11" s="94"/>
      <c r="K11" s="94"/>
      <c r="L11" s="4"/>
      <c r="M11" s="94"/>
      <c r="N11" s="94"/>
      <c r="O11" s="94"/>
    </row>
    <row r="12" spans="1:17" ht="43.8" customHeight="1" x14ac:dyDescent="0.3">
      <c r="A12" s="40" t="s">
        <v>103</v>
      </c>
      <c r="B12" s="26"/>
      <c r="C12" s="15" t="s">
        <v>104</v>
      </c>
      <c r="D12" s="45"/>
      <c r="E12" s="15" t="s">
        <v>105</v>
      </c>
      <c r="F12" s="45"/>
      <c r="G12" s="15" t="s">
        <v>84</v>
      </c>
      <c r="H12" s="45"/>
      <c r="I12" s="15" t="s">
        <v>106</v>
      </c>
      <c r="J12" s="45"/>
      <c r="K12" s="15" t="s">
        <v>107</v>
      </c>
      <c r="L12" s="26"/>
      <c r="M12" s="15" t="s">
        <v>106</v>
      </c>
      <c r="N12" s="45"/>
      <c r="O12" s="15" t="s">
        <v>107</v>
      </c>
      <c r="Q12" s="49"/>
    </row>
    <row r="13" spans="1:17" ht="22.2" x14ac:dyDescent="0.3">
      <c r="A13" s="42"/>
      <c r="B13" s="42"/>
      <c r="C13" s="42"/>
      <c r="D13" s="42"/>
      <c r="E13" s="42"/>
      <c r="F13" s="26"/>
      <c r="G13" s="42" t="s">
        <v>95</v>
      </c>
      <c r="H13" s="26"/>
      <c r="I13" s="42" t="s">
        <v>26</v>
      </c>
      <c r="J13" s="26"/>
      <c r="K13" s="42" t="s">
        <v>95</v>
      </c>
      <c r="L13" s="26"/>
      <c r="M13" s="42" t="s">
        <v>26</v>
      </c>
      <c r="N13" s="26"/>
      <c r="O13" s="42" t="s">
        <v>95</v>
      </c>
      <c r="Q13" s="50"/>
    </row>
  </sheetData>
  <mergeCells count="19">
    <mergeCell ref="M9:O9"/>
    <mergeCell ref="I5:K5"/>
    <mergeCell ref="C11:K11"/>
    <mergeCell ref="M11:O11"/>
    <mergeCell ref="M5:O5"/>
    <mergeCell ref="I6:K6"/>
    <mergeCell ref="I7:K7"/>
    <mergeCell ref="I8:K8"/>
    <mergeCell ref="I9:K9"/>
    <mergeCell ref="A10:O10"/>
    <mergeCell ref="A7:E7"/>
    <mergeCell ref="A8:E8"/>
    <mergeCell ref="M6:O6"/>
    <mergeCell ref="M7:O7"/>
    <mergeCell ref="A1:O1"/>
    <mergeCell ref="A2:O2"/>
    <mergeCell ref="A3:O3"/>
    <mergeCell ref="A4:O4"/>
    <mergeCell ref="M8:O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49AC-C198-45F4-8148-A7AD3710839E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96F1-01F1-42F6-BCA6-4CFBF08EC159}">
  <dimension ref="A1:L16"/>
  <sheetViews>
    <sheetView rightToLeft="1" workbookViewId="0">
      <selection activeCell="E9" sqref="E9"/>
    </sheetView>
  </sheetViews>
  <sheetFormatPr defaultRowHeight="14.4" x14ac:dyDescent="0.3"/>
  <cols>
    <col min="1" max="1" width="47.33203125" customWidth="1"/>
    <col min="2" max="2" width="0.77734375" customWidth="1"/>
    <col min="3" max="3" width="10.6640625" customWidth="1"/>
    <col min="4" max="4" width="0.77734375" customWidth="1"/>
    <col min="5" max="5" width="18.77734375" customWidth="1"/>
    <col min="6" max="6" width="1" customWidth="1"/>
    <col min="7" max="7" width="20" customWidth="1"/>
    <col min="8" max="8" width="0.6640625" customWidth="1"/>
    <col min="9" max="9" width="20.109375" customWidth="1"/>
    <col min="10" max="10" width="0.5546875" customWidth="1"/>
    <col min="11" max="11" width="24.44140625" customWidth="1"/>
  </cols>
  <sheetData>
    <row r="1" spans="1:12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2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2" ht="22.2" x14ac:dyDescent="0.3">
      <c r="A4" s="95" t="s">
        <v>109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1:12" ht="22.2" x14ac:dyDescent="0.3">
      <c r="A5" s="95" t="s">
        <v>110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22.2" customHeight="1" x14ac:dyDescent="0.3">
      <c r="A6" s="4"/>
      <c r="B6" s="4"/>
      <c r="C6" s="4"/>
      <c r="D6" s="4"/>
      <c r="E6" s="94"/>
      <c r="F6" s="94"/>
      <c r="G6" s="94"/>
      <c r="H6" s="94"/>
      <c r="I6" s="94"/>
      <c r="J6" s="4"/>
      <c r="K6" s="52"/>
      <c r="L6" s="4"/>
    </row>
    <row r="7" spans="1:12" ht="22.2" x14ac:dyDescent="0.3">
      <c r="A7" s="4"/>
      <c r="B7" s="4"/>
      <c r="C7" s="11" t="s">
        <v>25</v>
      </c>
      <c r="D7" s="4"/>
      <c r="E7" s="29" t="s">
        <v>111</v>
      </c>
      <c r="F7" s="16"/>
      <c r="G7" s="29" t="s">
        <v>112</v>
      </c>
      <c r="H7" s="16"/>
      <c r="I7" s="29" t="s">
        <v>113</v>
      </c>
      <c r="J7" s="4"/>
      <c r="K7" s="29" t="s">
        <v>113</v>
      </c>
      <c r="L7" s="4"/>
    </row>
    <row r="8" spans="1:12" ht="22.2" x14ac:dyDescent="0.3">
      <c r="A8" s="4"/>
      <c r="B8" s="4"/>
      <c r="C8" s="16"/>
      <c r="D8" s="4"/>
      <c r="E8" s="53" t="s">
        <v>26</v>
      </c>
      <c r="F8" s="4"/>
      <c r="G8" s="53" t="s">
        <v>95</v>
      </c>
      <c r="H8" s="4"/>
      <c r="I8" s="53" t="s">
        <v>26</v>
      </c>
      <c r="J8" s="4"/>
      <c r="K8" s="53" t="s">
        <v>26</v>
      </c>
      <c r="L8" s="4"/>
    </row>
    <row r="9" spans="1:12" ht="22.8" customHeight="1" x14ac:dyDescent="0.3">
      <c r="A9" s="54" t="s">
        <v>114</v>
      </c>
      <c r="B9" s="4"/>
      <c r="C9" s="51" t="s">
        <v>115</v>
      </c>
      <c r="D9" s="4"/>
      <c r="E9" s="55">
        <v>0</v>
      </c>
      <c r="F9" s="4"/>
      <c r="G9" s="55">
        <v>0</v>
      </c>
      <c r="H9" s="4"/>
      <c r="I9" s="55">
        <v>0</v>
      </c>
      <c r="J9" s="4"/>
      <c r="K9" s="55">
        <v>0</v>
      </c>
      <c r="L9" s="4"/>
    </row>
    <row r="10" spans="1:12" ht="24" customHeight="1" x14ac:dyDescent="0.3">
      <c r="A10" s="54" t="s">
        <v>116</v>
      </c>
      <c r="B10" s="4"/>
      <c r="C10" s="51" t="s">
        <v>117</v>
      </c>
      <c r="D10" s="4"/>
      <c r="E10" s="55">
        <v>0</v>
      </c>
      <c r="F10" s="4"/>
      <c r="G10" s="55">
        <v>0</v>
      </c>
      <c r="H10" s="4"/>
      <c r="I10" s="55">
        <v>0</v>
      </c>
      <c r="J10" s="4"/>
      <c r="K10" s="55">
        <v>0</v>
      </c>
      <c r="L10" s="4"/>
    </row>
    <row r="11" spans="1:12" ht="23.4" customHeight="1" x14ac:dyDescent="0.3">
      <c r="A11" s="54" t="s">
        <v>118</v>
      </c>
      <c r="B11" s="4"/>
      <c r="C11" s="51" t="s">
        <v>119</v>
      </c>
      <c r="D11" s="4"/>
      <c r="E11" s="55">
        <v>0</v>
      </c>
      <c r="F11" s="4"/>
      <c r="G11" s="55">
        <v>0</v>
      </c>
      <c r="H11" s="4"/>
      <c r="I11" s="56">
        <v>0</v>
      </c>
      <c r="J11" s="4"/>
      <c r="K11" s="56">
        <v>0</v>
      </c>
      <c r="L11" s="4"/>
    </row>
    <row r="12" spans="1:12" ht="22.8" thickBot="1" x14ac:dyDescent="0.35">
      <c r="A12" s="4"/>
      <c r="B12" s="4"/>
      <c r="C12" s="4"/>
      <c r="D12" s="4"/>
      <c r="E12" s="57">
        <f>SUM(E9:E11)</f>
        <v>0</v>
      </c>
      <c r="F12" s="4"/>
      <c r="G12" s="58"/>
      <c r="H12" s="4"/>
      <c r="I12" s="57">
        <f>SUM(I9:I11)</f>
        <v>0</v>
      </c>
      <c r="J12" s="4"/>
      <c r="K12" s="57">
        <f>SUM(K9:K11)</f>
        <v>0</v>
      </c>
      <c r="L12" s="4"/>
    </row>
    <row r="13" spans="1:12" ht="22.8" thickTop="1" x14ac:dyDescent="0.3">
      <c r="A13" s="95" t="s">
        <v>120</v>
      </c>
      <c r="B13" s="95"/>
      <c r="C13" s="95"/>
      <c r="D13" s="95"/>
      <c r="E13" s="103"/>
      <c r="F13" s="95"/>
      <c r="G13" s="103"/>
      <c r="H13" s="95"/>
      <c r="I13" s="103"/>
      <c r="J13" s="95"/>
      <c r="K13" s="103"/>
      <c r="L13" s="95"/>
    </row>
    <row r="14" spans="1:12" ht="21.6" customHeight="1" x14ac:dyDescent="0.3">
      <c r="A14" s="4"/>
      <c r="B14" s="4"/>
      <c r="C14" s="4"/>
      <c r="D14" s="4"/>
      <c r="E14" s="94"/>
      <c r="F14" s="94"/>
      <c r="G14" s="94"/>
      <c r="H14" s="94"/>
      <c r="I14" s="94"/>
      <c r="J14" s="4"/>
      <c r="K14" s="52"/>
      <c r="L14" s="4"/>
    </row>
    <row r="15" spans="1:12" ht="22.8" customHeight="1" x14ac:dyDescent="0.3">
      <c r="A15" s="4"/>
      <c r="B15" s="4"/>
      <c r="C15" s="4"/>
      <c r="D15" s="4"/>
      <c r="E15" s="15" t="s">
        <v>111</v>
      </c>
      <c r="F15" s="16"/>
      <c r="G15" s="15" t="s">
        <v>112</v>
      </c>
      <c r="H15" s="16"/>
      <c r="I15" s="15" t="s">
        <v>113</v>
      </c>
      <c r="J15" s="4"/>
      <c r="K15" s="15" t="s">
        <v>113</v>
      </c>
      <c r="L15" s="4"/>
    </row>
    <row r="16" spans="1:12" ht="22.2" x14ac:dyDescent="0.3">
      <c r="A16" s="4"/>
      <c r="B16" s="4"/>
      <c r="C16" s="4"/>
      <c r="D16" s="4"/>
      <c r="E16" s="29" t="s">
        <v>26</v>
      </c>
      <c r="F16" s="4"/>
      <c r="G16" s="29" t="s">
        <v>95</v>
      </c>
      <c r="H16" s="4"/>
      <c r="I16" s="29" t="s">
        <v>26</v>
      </c>
      <c r="J16" s="4"/>
      <c r="K16" s="29" t="s">
        <v>26</v>
      </c>
      <c r="L16" s="4"/>
    </row>
  </sheetData>
  <mergeCells count="8">
    <mergeCell ref="A13:L13"/>
    <mergeCell ref="E14:I14"/>
    <mergeCell ref="A1:L1"/>
    <mergeCell ref="A2:L2"/>
    <mergeCell ref="A3:L3"/>
    <mergeCell ref="A4:L4"/>
    <mergeCell ref="A5:L5"/>
    <mergeCell ref="E6:I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BBC0-F268-4168-8529-BEEFAB075C16}">
  <dimension ref="A1:F5"/>
  <sheetViews>
    <sheetView rightToLeft="1" workbookViewId="0">
      <selection activeCell="E5" sqref="E5"/>
    </sheetView>
  </sheetViews>
  <sheetFormatPr defaultRowHeight="14.4" x14ac:dyDescent="0.3"/>
  <cols>
    <col min="1" max="1" width="40.88671875" customWidth="1"/>
    <col min="2" max="2" width="0.5546875" customWidth="1"/>
    <col min="3" max="3" width="30.5546875" customWidth="1"/>
    <col min="4" max="4" width="0.5546875" customWidth="1"/>
    <col min="5" max="5" width="30.33203125" customWidth="1"/>
    <col min="6" max="6" width="8.44140625" customWidth="1"/>
  </cols>
  <sheetData>
    <row r="1" spans="1:6" ht="22.2" x14ac:dyDescent="0.3">
      <c r="A1" s="93"/>
      <c r="B1" s="93"/>
      <c r="C1" s="93"/>
      <c r="D1" s="93"/>
      <c r="E1" s="93"/>
      <c r="F1" s="93"/>
    </row>
    <row r="2" spans="1:6" ht="22.2" x14ac:dyDescent="0.3">
      <c r="A2" s="93" t="s">
        <v>14</v>
      </c>
      <c r="B2" s="93"/>
      <c r="C2" s="93"/>
      <c r="D2" s="93"/>
      <c r="E2" s="93"/>
      <c r="F2" s="93"/>
    </row>
    <row r="3" spans="1:6" ht="22.2" x14ac:dyDescent="0.3">
      <c r="A3" s="93"/>
      <c r="B3" s="93"/>
      <c r="C3" s="93"/>
      <c r="D3" s="93"/>
      <c r="E3" s="93"/>
      <c r="F3" s="93"/>
    </row>
    <row r="4" spans="1:6" ht="22.2" x14ac:dyDescent="0.3">
      <c r="A4" s="95" t="s">
        <v>121</v>
      </c>
      <c r="B4" s="95"/>
      <c r="C4" s="95"/>
      <c r="D4" s="95"/>
      <c r="E4" s="95"/>
      <c r="F4" s="95"/>
    </row>
    <row r="5" spans="1:6" ht="22.2" x14ac:dyDescent="0.3">
      <c r="A5" s="4"/>
      <c r="B5" s="4"/>
      <c r="C5" s="59"/>
      <c r="D5" s="4"/>
      <c r="E5" s="59"/>
      <c r="F5" s="4"/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E504-A3C9-4B19-8607-96B573957F52}">
  <dimension ref="A1:R7"/>
  <sheetViews>
    <sheetView rightToLeft="1" workbookViewId="0">
      <selection activeCell="I11" sqref="I11"/>
    </sheetView>
  </sheetViews>
  <sheetFormatPr defaultRowHeight="14.4" x14ac:dyDescent="0.3"/>
  <cols>
    <col min="1" max="1" width="17.5546875" customWidth="1"/>
    <col min="2" max="2" width="0.88671875" customWidth="1"/>
    <col min="3" max="3" width="18" customWidth="1"/>
    <col min="4" max="4" width="0.88671875" customWidth="1"/>
    <col min="5" max="5" width="18" customWidth="1"/>
    <col min="6" max="6" width="0.77734375" customWidth="1"/>
    <col min="7" max="7" width="20" customWidth="1"/>
    <col min="8" max="8" width="0.5546875" customWidth="1"/>
    <col min="9" max="9" width="19.88671875" customWidth="1"/>
    <col min="10" max="10" width="0.5546875" customWidth="1"/>
    <col min="11" max="11" width="23.21875" customWidth="1"/>
    <col min="12" max="12" width="0.6640625" customWidth="1"/>
    <col min="13" max="13" width="17.6640625" customWidth="1"/>
    <col min="14" max="14" width="0.5546875" customWidth="1"/>
    <col min="15" max="15" width="27.44140625" customWidth="1"/>
    <col min="16" max="16" width="0.44140625" customWidth="1"/>
    <col min="17" max="17" width="23.5546875" customWidth="1"/>
  </cols>
  <sheetData>
    <row r="1" spans="1:18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8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18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</row>
    <row r="4" spans="1:18" ht="22.2" x14ac:dyDescent="0.3">
      <c r="A4" s="95" t="s">
        <v>122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ht="25.2" customHeight="1" x14ac:dyDescent="0.3">
      <c r="A5" s="4"/>
      <c r="B5" s="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4"/>
      <c r="Q5" s="61"/>
      <c r="R5" s="4"/>
    </row>
    <row r="6" spans="1:18" ht="44.4" customHeight="1" x14ac:dyDescent="0.3">
      <c r="A6" s="4"/>
      <c r="B6" s="4"/>
      <c r="C6" s="15" t="s">
        <v>123</v>
      </c>
      <c r="D6" s="16"/>
      <c r="E6" s="15" t="s">
        <v>124</v>
      </c>
      <c r="F6" s="16"/>
      <c r="G6" s="15" t="s">
        <v>125</v>
      </c>
      <c r="H6" s="16"/>
      <c r="I6" s="15" t="s">
        <v>126</v>
      </c>
      <c r="J6" s="16"/>
      <c r="K6" s="15" t="s">
        <v>127</v>
      </c>
      <c r="L6" s="16"/>
      <c r="M6" s="15" t="s">
        <v>128</v>
      </c>
      <c r="N6" s="16"/>
      <c r="O6" s="15" t="s">
        <v>129</v>
      </c>
      <c r="P6" s="4"/>
      <c r="Q6" s="15" t="s">
        <v>128</v>
      </c>
      <c r="R6" s="4"/>
    </row>
    <row r="7" spans="1:18" ht="22.2" x14ac:dyDescent="0.3">
      <c r="A7" s="4"/>
      <c r="B7" s="4"/>
      <c r="C7" s="16"/>
      <c r="D7" s="4"/>
      <c r="E7" s="16"/>
      <c r="F7" s="4"/>
      <c r="G7" s="16"/>
      <c r="H7" s="4"/>
      <c r="I7" s="55">
        <v>0</v>
      </c>
      <c r="J7" s="4"/>
      <c r="K7" s="55">
        <v>0</v>
      </c>
      <c r="L7" s="4"/>
      <c r="M7" s="55">
        <v>0</v>
      </c>
      <c r="N7" s="4"/>
      <c r="O7" s="72">
        <v>0</v>
      </c>
      <c r="P7" s="4"/>
      <c r="Q7" s="55">
        <v>0</v>
      </c>
      <c r="R7" s="4"/>
    </row>
  </sheetData>
  <mergeCells count="5">
    <mergeCell ref="A1:R1"/>
    <mergeCell ref="A2:R2"/>
    <mergeCell ref="A3:R3"/>
    <mergeCell ref="A4:R4"/>
    <mergeCell ref="C5:O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B59A-7D30-4F5A-8C04-9F9CC6518444}">
  <dimension ref="A1:I22"/>
  <sheetViews>
    <sheetView rightToLeft="1" topLeftCell="A4" workbookViewId="0">
      <selection activeCell="G11" sqref="G11"/>
    </sheetView>
  </sheetViews>
  <sheetFormatPr defaultRowHeight="14.4" x14ac:dyDescent="0.3"/>
  <cols>
    <col min="1" max="1" width="38.109375" customWidth="1"/>
    <col min="2" max="2" width="0.44140625" customWidth="1"/>
    <col min="3" max="3" width="21.44140625" customWidth="1"/>
    <col min="4" max="4" width="0.5546875" customWidth="1"/>
    <col min="5" max="5" width="19.109375" customWidth="1"/>
    <col min="6" max="6" width="0.6640625" customWidth="1"/>
    <col min="7" max="7" width="20" customWidth="1"/>
    <col min="8" max="8" width="0.5546875" customWidth="1"/>
    <col min="9" max="9" width="20.5546875" customWidth="1"/>
    <col min="10" max="10" width="10.109375" customWidth="1"/>
  </cols>
  <sheetData>
    <row r="1" spans="1:9" ht="22.2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</row>
    <row r="3" spans="1:9" ht="22.2" x14ac:dyDescent="0.3">
      <c r="A3" s="93"/>
      <c r="B3" s="93"/>
      <c r="C3" s="93"/>
      <c r="D3" s="93"/>
      <c r="E3" s="93"/>
      <c r="F3" s="93"/>
      <c r="G3" s="93"/>
      <c r="H3" s="93"/>
      <c r="I3" s="93"/>
    </row>
    <row r="4" spans="1:9" ht="22.2" x14ac:dyDescent="0.3">
      <c r="A4" s="95" t="s">
        <v>130</v>
      </c>
      <c r="B4" s="95"/>
      <c r="C4" s="95"/>
      <c r="D4" s="95"/>
      <c r="E4" s="95"/>
      <c r="F4" s="95"/>
      <c r="G4" s="95"/>
      <c r="H4" s="95"/>
      <c r="I4" s="95"/>
    </row>
    <row r="5" spans="1:9" ht="22.2" x14ac:dyDescent="0.3">
      <c r="A5" s="105" t="s">
        <v>131</v>
      </c>
      <c r="B5" s="105"/>
      <c r="C5" s="105"/>
      <c r="D5" s="105"/>
      <c r="E5" s="105"/>
      <c r="F5" s="105"/>
      <c r="G5" s="105"/>
      <c r="H5" s="105"/>
      <c r="I5" s="105"/>
    </row>
    <row r="6" spans="1:9" ht="20.399999999999999" customHeight="1" x14ac:dyDescent="0.3">
      <c r="A6" s="4"/>
      <c r="B6" s="4"/>
      <c r="C6" s="4"/>
      <c r="D6" s="4"/>
      <c r="E6" s="61" t="s">
        <v>25</v>
      </c>
      <c r="F6" s="4"/>
      <c r="G6" s="61"/>
      <c r="H6" s="4"/>
      <c r="I6" s="61"/>
    </row>
    <row r="7" spans="1:9" ht="20.399999999999999" x14ac:dyDescent="0.3">
      <c r="A7" s="70" t="s">
        <v>132</v>
      </c>
      <c r="G7" s="71">
        <v>0</v>
      </c>
      <c r="I7" s="71">
        <v>0</v>
      </c>
    </row>
    <row r="8" spans="1:9" ht="20.399999999999999" x14ac:dyDescent="0.3">
      <c r="A8" s="70" t="s">
        <v>133</v>
      </c>
      <c r="G8" s="71">
        <v>0</v>
      </c>
      <c r="I8" s="71">
        <v>0</v>
      </c>
    </row>
    <row r="9" spans="1:9" ht="20.399999999999999" x14ac:dyDescent="0.3">
      <c r="A9" s="70" t="s">
        <v>134</v>
      </c>
      <c r="G9" s="71">
        <v>0</v>
      </c>
      <c r="I9" s="71">
        <v>0</v>
      </c>
    </row>
    <row r="10" spans="1:9" ht="20.399999999999999" x14ac:dyDescent="0.3">
      <c r="A10" s="70" t="s">
        <v>135</v>
      </c>
      <c r="G10" s="71">
        <v>0</v>
      </c>
      <c r="I10" s="71">
        <v>0</v>
      </c>
    </row>
    <row r="11" spans="1:9" ht="20.399999999999999" x14ac:dyDescent="0.3">
      <c r="A11" s="70" t="s">
        <v>136</v>
      </c>
      <c r="G11" s="71">
        <v>0</v>
      </c>
      <c r="I11" s="71">
        <v>0</v>
      </c>
    </row>
    <row r="12" spans="1:9" ht="22.8" thickBot="1" x14ac:dyDescent="0.35">
      <c r="G12" s="60">
        <f>SUM(G7:G11)</f>
        <v>0</v>
      </c>
      <c r="I12" s="60">
        <f>SUM(I7:I11)</f>
        <v>0</v>
      </c>
    </row>
    <row r="13" spans="1:9" ht="21.6" customHeight="1" thickTop="1" x14ac:dyDescent="0.3"/>
    <row r="14" spans="1:9" ht="16.8" customHeight="1" x14ac:dyDescent="0.3"/>
    <row r="15" spans="1:9" ht="16.8" customHeight="1" x14ac:dyDescent="0.3"/>
    <row r="22" ht="22.2" customHeight="1" x14ac:dyDescent="0.3"/>
  </sheetData>
  <mergeCells count="5">
    <mergeCell ref="A1:I1"/>
    <mergeCell ref="A2:I2"/>
    <mergeCell ref="A3:I3"/>
    <mergeCell ref="A4:I4"/>
    <mergeCell ref="A5:I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4353-37D5-4C1A-AE4B-62E2B815562F}">
  <dimension ref="A1:Q15"/>
  <sheetViews>
    <sheetView rightToLeft="1" workbookViewId="0">
      <selection sqref="A1:Q1"/>
    </sheetView>
  </sheetViews>
  <sheetFormatPr defaultRowHeight="14.4" x14ac:dyDescent="0.3"/>
  <cols>
    <col min="1" max="1" width="39.5546875" customWidth="1"/>
    <col min="2" max="2" width="1.21875" customWidth="1"/>
    <col min="3" max="3" width="16.77734375" customWidth="1"/>
    <col min="4" max="4" width="0.77734375" customWidth="1"/>
    <col min="5" max="5" width="20.44140625" customWidth="1"/>
    <col min="6" max="6" width="0.6640625" customWidth="1"/>
    <col min="7" max="7" width="19.88671875" customWidth="1"/>
    <col min="8" max="8" width="0.44140625" customWidth="1"/>
    <col min="9" max="9" width="17.5546875" customWidth="1"/>
    <col min="10" max="10" width="0.6640625" customWidth="1"/>
    <col min="11" max="11" width="17.109375" customWidth="1"/>
    <col min="12" max="12" width="0.44140625" customWidth="1"/>
    <col min="13" max="13" width="22.77734375" customWidth="1"/>
    <col min="14" max="14" width="0.44140625" customWidth="1"/>
    <col min="15" max="15" width="20.109375" customWidth="1"/>
  </cols>
  <sheetData>
    <row r="1" spans="1:17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17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17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</row>
    <row r="4" spans="1:17" ht="22.2" x14ac:dyDescent="0.3">
      <c r="A4" s="95" t="s">
        <v>39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</row>
    <row r="5" spans="1:17" ht="22.2" x14ac:dyDescent="0.3">
      <c r="A5" s="95" t="s">
        <v>40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</row>
    <row r="6" spans="1:17" ht="22.2" x14ac:dyDescent="0.3">
      <c r="A6" s="4"/>
      <c r="B6" s="4"/>
      <c r="C6" s="4"/>
      <c r="D6" s="4"/>
      <c r="E6" s="4"/>
      <c r="F6" s="4"/>
      <c r="G6" s="11" t="s">
        <v>25</v>
      </c>
      <c r="H6" s="4"/>
      <c r="I6" s="94"/>
      <c r="J6" s="94"/>
      <c r="K6" s="94"/>
      <c r="L6" s="4"/>
      <c r="M6" s="94"/>
      <c r="N6" s="94"/>
      <c r="O6" s="94"/>
      <c r="P6" s="4"/>
      <c r="Q6" s="4"/>
    </row>
    <row r="7" spans="1:17" ht="22.2" x14ac:dyDescent="0.3">
      <c r="A7" s="4"/>
      <c r="B7" s="4"/>
      <c r="C7" s="4"/>
      <c r="D7" s="4"/>
      <c r="E7" s="4"/>
      <c r="F7" s="4"/>
      <c r="G7" s="16"/>
      <c r="H7" s="4"/>
      <c r="I7" s="100" t="s">
        <v>26</v>
      </c>
      <c r="J7" s="100"/>
      <c r="K7" s="100"/>
      <c r="L7" s="4"/>
      <c r="M7" s="100" t="s">
        <v>26</v>
      </c>
      <c r="N7" s="100"/>
      <c r="O7" s="100"/>
      <c r="P7" s="4"/>
      <c r="Q7" s="4"/>
    </row>
    <row r="8" spans="1:17" ht="22.2" x14ac:dyDescent="0.3">
      <c r="A8" s="102" t="s">
        <v>42</v>
      </c>
      <c r="B8" s="102"/>
      <c r="C8" s="102"/>
      <c r="D8" s="102"/>
      <c r="E8" s="102"/>
      <c r="F8" s="4"/>
      <c r="G8" s="21" t="s">
        <v>43</v>
      </c>
      <c r="H8" s="4"/>
      <c r="I8" s="106">
        <v>0</v>
      </c>
      <c r="J8" s="106"/>
      <c r="K8" s="106"/>
      <c r="L8" s="26"/>
      <c r="M8" s="106">
        <v>0</v>
      </c>
      <c r="N8" s="106"/>
      <c r="O8" s="106"/>
      <c r="P8" s="4"/>
      <c r="Q8" s="4"/>
    </row>
    <row r="9" spans="1:17" ht="22.2" x14ac:dyDescent="0.3">
      <c r="A9" s="102" t="s">
        <v>44</v>
      </c>
      <c r="B9" s="102"/>
      <c r="C9" s="102"/>
      <c r="D9" s="102"/>
      <c r="E9" s="102"/>
      <c r="F9" s="4"/>
      <c r="G9" s="21" t="s">
        <v>45</v>
      </c>
      <c r="H9" s="4"/>
      <c r="I9" s="106">
        <v>0</v>
      </c>
      <c r="J9" s="106"/>
      <c r="K9" s="106"/>
      <c r="L9" s="26"/>
      <c r="M9" s="106">
        <v>0</v>
      </c>
      <c r="N9" s="106"/>
      <c r="O9" s="106"/>
      <c r="P9" s="4"/>
      <c r="Q9" s="4"/>
    </row>
    <row r="10" spans="1:17" ht="22.2" x14ac:dyDescent="0.3">
      <c r="A10" s="102" t="s">
        <v>46</v>
      </c>
      <c r="B10" s="102"/>
      <c r="C10" s="102"/>
      <c r="D10" s="102"/>
      <c r="E10" s="102"/>
      <c r="F10" s="4"/>
      <c r="G10" s="21" t="s">
        <v>47</v>
      </c>
      <c r="H10" s="4"/>
      <c r="I10" s="98">
        <v>0</v>
      </c>
      <c r="J10" s="98"/>
      <c r="K10" s="98"/>
      <c r="L10" s="26"/>
      <c r="M10" s="98">
        <v>0</v>
      </c>
      <c r="N10" s="98"/>
      <c r="O10" s="98"/>
      <c r="P10" s="4"/>
      <c r="Q10" s="4"/>
    </row>
    <row r="11" spans="1:17" ht="22.8" thickBot="1" x14ac:dyDescent="0.35">
      <c r="A11" s="4"/>
      <c r="B11" s="4"/>
      <c r="C11" s="4"/>
      <c r="D11" s="4"/>
      <c r="E11" s="4"/>
      <c r="F11" s="4"/>
      <c r="G11" s="4"/>
      <c r="H11" s="4"/>
      <c r="I11" s="99">
        <f>SUM(I8:K10)</f>
        <v>0</v>
      </c>
      <c r="J11" s="99"/>
      <c r="K11" s="99"/>
      <c r="L11" s="26"/>
      <c r="M11" s="99">
        <f>SUM(M8:O10)</f>
        <v>0</v>
      </c>
      <c r="N11" s="99"/>
      <c r="O11" s="99"/>
      <c r="P11" s="4"/>
      <c r="Q11" s="4"/>
    </row>
    <row r="12" spans="1:17" ht="22.8" thickTop="1" x14ac:dyDescent="0.3">
      <c r="A12" s="101" t="s">
        <v>48</v>
      </c>
      <c r="B12" s="101"/>
      <c r="C12" s="101"/>
      <c r="D12" s="101"/>
      <c r="E12" s="101"/>
      <c r="F12" s="101"/>
      <c r="G12" s="101"/>
      <c r="H12" s="101"/>
      <c r="I12" s="107"/>
      <c r="J12" s="107"/>
      <c r="K12" s="107"/>
      <c r="L12" s="101"/>
      <c r="M12" s="107"/>
      <c r="N12" s="107"/>
      <c r="O12" s="107"/>
      <c r="P12" s="101"/>
      <c r="Q12" s="101"/>
    </row>
    <row r="13" spans="1:17" ht="22.2" customHeight="1" x14ac:dyDescent="0.3">
      <c r="A13" s="4"/>
      <c r="B13" s="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4"/>
      <c r="O13" s="20"/>
      <c r="Q13" s="4"/>
    </row>
    <row r="14" spans="1:17" ht="28.2" customHeight="1" x14ac:dyDescent="0.3">
      <c r="A14" s="14" t="s">
        <v>49</v>
      </c>
      <c r="B14" s="4"/>
      <c r="C14" s="15" t="s">
        <v>5</v>
      </c>
      <c r="D14" s="16"/>
      <c r="E14" s="15" t="s">
        <v>50</v>
      </c>
      <c r="F14" s="16"/>
      <c r="G14" s="15" t="s">
        <v>51</v>
      </c>
      <c r="H14" s="16"/>
      <c r="I14" s="15" t="s">
        <v>52</v>
      </c>
      <c r="J14" s="16"/>
      <c r="K14" s="15" t="s">
        <v>36</v>
      </c>
      <c r="L14" s="16"/>
      <c r="M14" s="15" t="s">
        <v>53</v>
      </c>
      <c r="N14" s="4"/>
      <c r="O14" s="22" t="s">
        <v>53</v>
      </c>
      <c r="Q14" s="4"/>
    </row>
    <row r="15" spans="1:17" ht="22.2" x14ac:dyDescent="0.3">
      <c r="A15" s="16"/>
      <c r="B15" s="4"/>
      <c r="C15" s="16"/>
      <c r="D15" s="4"/>
      <c r="E15" s="18" t="s">
        <v>26</v>
      </c>
      <c r="F15" s="4"/>
      <c r="G15" s="18" t="s">
        <v>26</v>
      </c>
      <c r="H15" s="4"/>
      <c r="I15" s="18" t="s">
        <v>26</v>
      </c>
      <c r="J15" s="4"/>
      <c r="K15" s="18" t="s">
        <v>26</v>
      </c>
      <c r="L15" s="4"/>
      <c r="M15" s="18" t="s">
        <v>26</v>
      </c>
      <c r="N15" s="4"/>
      <c r="O15" s="18" t="s">
        <v>26</v>
      </c>
      <c r="Q15" s="4"/>
    </row>
  </sheetData>
  <mergeCells count="22">
    <mergeCell ref="C13:M13"/>
    <mergeCell ref="A10:E10"/>
    <mergeCell ref="I10:K10"/>
    <mergeCell ref="M10:O10"/>
    <mergeCell ref="I11:K11"/>
    <mergeCell ref="M11:O11"/>
    <mergeCell ref="A12:Q12"/>
    <mergeCell ref="A9:E9"/>
    <mergeCell ref="I9:K9"/>
    <mergeCell ref="M9:O9"/>
    <mergeCell ref="A1:Q1"/>
    <mergeCell ref="A2:Q2"/>
    <mergeCell ref="A3:Q3"/>
    <mergeCell ref="A4:Q4"/>
    <mergeCell ref="A5:Q5"/>
    <mergeCell ref="I6:K6"/>
    <mergeCell ref="M6:O6"/>
    <mergeCell ref="I7:K7"/>
    <mergeCell ref="M7:O7"/>
    <mergeCell ref="A8:E8"/>
    <mergeCell ref="I8:K8"/>
    <mergeCell ref="M8:O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A575-8E6F-4C38-A8A3-EEE38E05BA7A}">
  <dimension ref="A1:N7"/>
  <sheetViews>
    <sheetView rightToLeft="1" workbookViewId="0">
      <selection activeCell="M5" sqref="M5"/>
    </sheetView>
  </sheetViews>
  <sheetFormatPr defaultRowHeight="14.4" x14ac:dyDescent="0.3"/>
  <cols>
    <col min="1" max="1" width="40.5546875" customWidth="1"/>
    <col min="2" max="2" width="0.5546875" customWidth="1"/>
    <col min="3" max="3" width="17.33203125" customWidth="1"/>
    <col min="4" max="4" width="0.5546875" customWidth="1"/>
    <col min="5" max="5" width="18.6640625" customWidth="1"/>
    <col min="6" max="6" width="0.44140625" customWidth="1"/>
    <col min="7" max="7" width="21.33203125" customWidth="1"/>
    <col min="8" max="8" width="0.44140625" customWidth="1"/>
    <col min="9" max="9" width="19.44140625" customWidth="1"/>
    <col min="10" max="10" width="0.21875" customWidth="1"/>
    <col min="11" max="11" width="21.88671875" customWidth="1"/>
    <col min="12" max="12" width="0.44140625" customWidth="1"/>
    <col min="13" max="13" width="22.6640625" customWidth="1"/>
  </cols>
  <sheetData>
    <row r="1" spans="1:14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14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</row>
    <row r="3" spans="1:14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4" ht="22.2" x14ac:dyDescent="0.3">
      <c r="A4" s="101" t="s">
        <v>54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</row>
    <row r="5" spans="1:14" ht="24.6" customHeight="1" x14ac:dyDescent="0.3">
      <c r="A5" s="4"/>
      <c r="B5" s="4"/>
      <c r="C5" s="94"/>
      <c r="D5" s="94"/>
      <c r="E5" s="94"/>
      <c r="F5" s="94"/>
      <c r="G5" s="94"/>
      <c r="H5" s="94"/>
      <c r="I5" s="94"/>
      <c r="J5" s="94"/>
      <c r="K5" s="94"/>
      <c r="L5" s="4"/>
      <c r="M5" s="20"/>
      <c r="N5" s="4"/>
    </row>
    <row r="6" spans="1:14" ht="24" customHeight="1" x14ac:dyDescent="0.3">
      <c r="A6" s="14" t="s">
        <v>55</v>
      </c>
      <c r="B6" s="4"/>
      <c r="C6" s="15" t="s">
        <v>56</v>
      </c>
      <c r="D6" s="16"/>
      <c r="E6" s="15" t="s">
        <v>57</v>
      </c>
      <c r="F6" s="16"/>
      <c r="G6" s="15" t="s">
        <v>21</v>
      </c>
      <c r="H6" s="16"/>
      <c r="I6" s="15" t="s">
        <v>52</v>
      </c>
      <c r="J6" s="16"/>
      <c r="K6" s="15" t="s">
        <v>53</v>
      </c>
      <c r="L6" s="4"/>
      <c r="M6" s="15" t="s">
        <v>53</v>
      </c>
      <c r="N6" s="4"/>
    </row>
    <row r="7" spans="1:14" ht="22.2" x14ac:dyDescent="0.3">
      <c r="A7" s="25"/>
      <c r="B7" s="25"/>
      <c r="C7" s="25"/>
      <c r="D7" s="4"/>
      <c r="E7" s="18" t="s">
        <v>26</v>
      </c>
      <c r="F7" s="4"/>
      <c r="G7" s="18" t="s">
        <v>26</v>
      </c>
      <c r="H7" s="4"/>
      <c r="I7" s="18" t="s">
        <v>26</v>
      </c>
      <c r="J7" s="4"/>
      <c r="K7" s="18" t="s">
        <v>26</v>
      </c>
      <c r="L7" s="4"/>
      <c r="M7" s="18" t="s">
        <v>26</v>
      </c>
      <c r="N7" s="4"/>
    </row>
  </sheetData>
  <mergeCells count="5">
    <mergeCell ref="A1:N1"/>
    <mergeCell ref="A2:N2"/>
    <mergeCell ref="A3:N3"/>
    <mergeCell ref="A4:N4"/>
    <mergeCell ref="C5:K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47E9-5544-4E1D-85AE-AB32D4F68900}">
  <dimension ref="A1:Z8"/>
  <sheetViews>
    <sheetView rightToLeft="1" workbookViewId="0">
      <selection activeCell="Y5" sqref="Y5"/>
    </sheetView>
  </sheetViews>
  <sheetFormatPr defaultRowHeight="14.4" x14ac:dyDescent="0.3"/>
  <cols>
    <col min="1" max="1" width="45.33203125" customWidth="1"/>
    <col min="2" max="2" width="0.44140625" customWidth="1"/>
    <col min="3" max="3" width="15.33203125" customWidth="1"/>
    <col min="4" max="4" width="0.44140625" customWidth="1"/>
    <col min="5" max="5" width="11.6640625" customWidth="1"/>
    <col min="6" max="6" width="0.44140625" customWidth="1"/>
    <col min="7" max="7" width="11.77734375" customWidth="1"/>
    <col min="8" max="8" width="0.44140625" customWidth="1"/>
    <col min="9" max="9" width="13.5546875" customWidth="1"/>
    <col min="10" max="10" width="0.44140625" customWidth="1"/>
    <col min="11" max="11" width="14.21875" customWidth="1"/>
    <col min="12" max="12" width="0.44140625" customWidth="1"/>
    <col min="13" max="13" width="20.44140625" customWidth="1"/>
    <col min="14" max="14" width="0.21875" customWidth="1"/>
    <col min="15" max="15" width="20.88671875" customWidth="1"/>
    <col min="16" max="16" width="0.21875" customWidth="1"/>
    <col min="17" max="17" width="12.77734375" customWidth="1"/>
    <col min="18" max="18" width="0.21875" customWidth="1"/>
    <col min="19" max="19" width="15.44140625" customWidth="1"/>
    <col min="20" max="20" width="0.44140625" customWidth="1"/>
    <col min="21" max="21" width="14.77734375" customWidth="1"/>
    <col min="22" max="22" width="0.44140625" customWidth="1"/>
    <col min="23" max="23" width="19.44140625" customWidth="1"/>
    <col min="24" max="24" width="0.21875" customWidth="1"/>
    <col min="25" max="25" width="18.88671875" customWidth="1"/>
  </cols>
  <sheetData>
    <row r="1" spans="1:26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 ht="22.2" x14ac:dyDescent="0.3">
      <c r="A4" s="101" t="s">
        <v>58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6" ht="22.2" customHeight="1" x14ac:dyDescent="0.3">
      <c r="A5" s="4"/>
      <c r="B5" s="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4"/>
      <c r="Y5" s="19"/>
      <c r="Z5" s="4"/>
    </row>
    <row r="6" spans="1:26" ht="14.4" customHeight="1" x14ac:dyDescent="0.3">
      <c r="A6" s="108" t="s">
        <v>2</v>
      </c>
      <c r="B6" s="4"/>
      <c r="C6" s="109" t="s">
        <v>3</v>
      </c>
      <c r="D6" s="16"/>
      <c r="E6" s="109" t="s">
        <v>4</v>
      </c>
      <c r="F6" s="16"/>
      <c r="G6" s="109" t="s">
        <v>5</v>
      </c>
      <c r="H6" s="16"/>
      <c r="I6" s="109" t="s">
        <v>6</v>
      </c>
      <c r="J6" s="16"/>
      <c r="K6" s="109" t="s">
        <v>7</v>
      </c>
      <c r="L6" s="16"/>
      <c r="M6" s="109" t="s">
        <v>8</v>
      </c>
      <c r="N6" s="16"/>
      <c r="O6" s="109" t="s">
        <v>9</v>
      </c>
      <c r="P6" s="16"/>
      <c r="Q6" s="109" t="s">
        <v>10</v>
      </c>
      <c r="R6" s="16"/>
      <c r="S6" s="109" t="s">
        <v>11</v>
      </c>
      <c r="T6" s="16"/>
      <c r="U6" s="109" t="s">
        <v>59</v>
      </c>
      <c r="V6" s="16"/>
      <c r="W6" s="109" t="s">
        <v>13</v>
      </c>
      <c r="X6" s="4"/>
      <c r="Y6" s="108" t="s">
        <v>13</v>
      </c>
      <c r="Z6" s="4"/>
    </row>
    <row r="7" spans="1:26" ht="25.8" customHeight="1" x14ac:dyDescent="0.3">
      <c r="A7" s="104"/>
      <c r="B7" s="4"/>
      <c r="C7" s="104"/>
      <c r="D7" s="4"/>
      <c r="E7" s="104"/>
      <c r="F7" s="4"/>
      <c r="G7" s="104"/>
      <c r="H7" s="4"/>
      <c r="I7" s="104"/>
      <c r="J7" s="4"/>
      <c r="K7" s="104"/>
      <c r="L7" s="4"/>
      <c r="M7" s="104"/>
      <c r="N7" s="4"/>
      <c r="O7" s="104"/>
      <c r="P7" s="4"/>
      <c r="Q7" s="104"/>
      <c r="R7" s="4"/>
      <c r="S7" s="104"/>
      <c r="T7" s="4"/>
      <c r="U7" s="104"/>
      <c r="V7" s="4"/>
      <c r="W7" s="104"/>
      <c r="X7" s="4"/>
      <c r="Y7" s="104"/>
      <c r="Z7" s="4"/>
    </row>
    <row r="8" spans="1:26" ht="22.2" x14ac:dyDescent="0.3">
      <c r="A8" s="18"/>
      <c r="B8" s="18"/>
      <c r="C8" s="18"/>
      <c r="D8" s="18"/>
      <c r="E8" s="18"/>
      <c r="F8" s="18"/>
      <c r="G8" s="18"/>
      <c r="H8" s="4"/>
      <c r="I8" s="18" t="s">
        <v>26</v>
      </c>
      <c r="J8" s="4"/>
      <c r="K8" s="18" t="s">
        <v>26</v>
      </c>
      <c r="L8" s="4"/>
      <c r="M8" s="18" t="s">
        <v>26</v>
      </c>
      <c r="N8" s="4"/>
      <c r="O8" s="18" t="s">
        <v>26</v>
      </c>
      <c r="P8" s="4"/>
      <c r="Q8" s="18" t="s">
        <v>26</v>
      </c>
      <c r="R8" s="4"/>
      <c r="S8" s="18" t="s">
        <v>26</v>
      </c>
      <c r="T8" s="4"/>
      <c r="U8" s="18" t="s">
        <v>26</v>
      </c>
      <c r="V8" s="4"/>
      <c r="W8" s="18" t="s">
        <v>26</v>
      </c>
      <c r="X8" s="4"/>
      <c r="Y8" s="18" t="s">
        <v>26</v>
      </c>
      <c r="Z8" s="4"/>
    </row>
  </sheetData>
  <mergeCells count="18">
    <mergeCell ref="W6:W7"/>
    <mergeCell ref="Y6:Y7"/>
    <mergeCell ref="I6:I7"/>
    <mergeCell ref="G6:G7"/>
    <mergeCell ref="E6:E7"/>
    <mergeCell ref="Q6:Q7"/>
    <mergeCell ref="S6:S7"/>
    <mergeCell ref="U6:U7"/>
    <mergeCell ref="A6:A7"/>
    <mergeCell ref="C6:C7"/>
    <mergeCell ref="K6:K7"/>
    <mergeCell ref="M6:M7"/>
    <mergeCell ref="O6:O7"/>
    <mergeCell ref="A1:Z1"/>
    <mergeCell ref="A2:Z2"/>
    <mergeCell ref="A3:Z3"/>
    <mergeCell ref="A4:Z4"/>
    <mergeCell ref="C5:W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95F2-ECD3-456F-BC50-CA5F2F413DFA}">
  <dimension ref="A1:Q14"/>
  <sheetViews>
    <sheetView rightToLeft="1" workbookViewId="0">
      <selection sqref="A1:Q1"/>
    </sheetView>
  </sheetViews>
  <sheetFormatPr defaultRowHeight="14.4" x14ac:dyDescent="0.3"/>
  <cols>
    <col min="1" max="1" width="45.44140625" customWidth="1"/>
    <col min="2" max="2" width="0.6640625" customWidth="1"/>
    <col min="3" max="3" width="15.77734375" customWidth="1"/>
    <col min="4" max="4" width="0.6640625" customWidth="1"/>
    <col min="5" max="5" width="22.44140625" customWidth="1"/>
    <col min="6" max="6" width="1" customWidth="1"/>
    <col min="7" max="7" width="19.33203125" customWidth="1"/>
    <col min="8" max="8" width="0.88671875" customWidth="1"/>
    <col min="9" max="9" width="17.33203125" customWidth="1"/>
    <col min="10" max="10" width="1" customWidth="1"/>
    <col min="11" max="11" width="19" customWidth="1"/>
    <col min="12" max="12" width="1" customWidth="1"/>
    <col min="13" max="13" width="21.6640625" customWidth="1"/>
    <col min="14" max="14" width="0.6640625" customWidth="1"/>
    <col min="15" max="15" width="19.33203125" customWidth="1"/>
  </cols>
  <sheetData>
    <row r="1" spans="1:17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17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3" spans="1:17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</row>
    <row r="4" spans="1:17" ht="22.2" x14ac:dyDescent="0.3">
      <c r="A4" s="95" t="s">
        <v>23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</row>
    <row r="5" spans="1:17" ht="22.2" x14ac:dyDescent="0.3">
      <c r="A5" s="95" t="s">
        <v>24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</row>
    <row r="6" spans="1:17" ht="22.2" x14ac:dyDescent="0.3">
      <c r="A6" s="95"/>
      <c r="B6" s="95"/>
      <c r="C6" s="95"/>
      <c r="D6" s="95"/>
      <c r="E6" s="95"/>
      <c r="F6" s="95"/>
      <c r="G6" s="11" t="s">
        <v>25</v>
      </c>
      <c r="H6" s="10"/>
      <c r="I6" s="96"/>
      <c r="J6" s="96"/>
      <c r="K6" s="96"/>
      <c r="L6" s="95"/>
      <c r="M6" s="96"/>
      <c r="N6" s="96"/>
      <c r="O6" s="96"/>
    </row>
    <row r="7" spans="1:17" ht="22.2" x14ac:dyDescent="0.3">
      <c r="A7" s="95"/>
      <c r="B7" s="95"/>
      <c r="C7" s="95"/>
      <c r="D7" s="95"/>
      <c r="E7" s="95"/>
      <c r="F7" s="95"/>
      <c r="G7" s="110"/>
      <c r="H7" s="95"/>
      <c r="I7" s="93" t="s">
        <v>26</v>
      </c>
      <c r="J7" s="93"/>
      <c r="K7" s="93"/>
      <c r="L7" s="95"/>
      <c r="M7" s="93" t="s">
        <v>26</v>
      </c>
      <c r="N7" s="93"/>
      <c r="O7" s="93"/>
    </row>
    <row r="8" spans="1:17" ht="22.2" x14ac:dyDescent="0.3">
      <c r="A8" s="102" t="s">
        <v>27</v>
      </c>
      <c r="B8" s="102"/>
      <c r="C8" s="102"/>
      <c r="D8" s="102"/>
      <c r="E8" s="102"/>
      <c r="F8" s="95"/>
      <c r="G8" s="12" t="s">
        <v>28</v>
      </c>
      <c r="H8" s="95"/>
      <c r="I8" s="106">
        <v>0</v>
      </c>
      <c r="J8" s="106"/>
      <c r="K8" s="106"/>
      <c r="L8" s="95"/>
      <c r="M8" s="106">
        <v>0</v>
      </c>
      <c r="N8" s="106"/>
      <c r="O8" s="106"/>
    </row>
    <row r="9" spans="1:17" ht="22.2" x14ac:dyDescent="0.3">
      <c r="A9" s="102" t="s">
        <v>29</v>
      </c>
      <c r="B9" s="102"/>
      <c r="C9" s="102"/>
      <c r="D9" s="102"/>
      <c r="E9" s="102"/>
      <c r="F9" s="95"/>
      <c r="G9" s="12" t="s">
        <v>30</v>
      </c>
      <c r="H9" s="95"/>
      <c r="I9" s="98">
        <v>0</v>
      </c>
      <c r="J9" s="98"/>
      <c r="K9" s="98"/>
      <c r="L9" s="95"/>
      <c r="M9" s="98">
        <v>0</v>
      </c>
      <c r="N9" s="98"/>
      <c r="O9" s="98"/>
    </row>
    <row r="10" spans="1:17" ht="22.8" thickBot="1" x14ac:dyDescent="0.35">
      <c r="A10" s="95"/>
      <c r="B10" s="95"/>
      <c r="C10" s="95"/>
      <c r="D10" s="95"/>
      <c r="E10" s="95"/>
      <c r="F10" s="95"/>
      <c r="G10" s="95"/>
      <c r="H10" s="95"/>
      <c r="I10" s="99">
        <f>SUM(I8:I9)</f>
        <v>0</v>
      </c>
      <c r="J10" s="99"/>
      <c r="K10" s="99"/>
      <c r="L10" s="95"/>
      <c r="M10" s="99">
        <f>SUM(M8:O9)</f>
        <v>0</v>
      </c>
      <c r="N10" s="99"/>
      <c r="O10" s="99"/>
    </row>
    <row r="11" spans="1:17" ht="22.8" thickTop="1" x14ac:dyDescent="0.3">
      <c r="A11" s="101" t="s">
        <v>31</v>
      </c>
      <c r="B11" s="101"/>
      <c r="C11" s="101"/>
      <c r="D11" s="101"/>
      <c r="E11" s="101"/>
      <c r="F11" s="101"/>
      <c r="G11" s="101"/>
      <c r="H11" s="101"/>
      <c r="I11" s="107"/>
      <c r="J11" s="107"/>
      <c r="K11" s="107"/>
      <c r="L11" s="101"/>
      <c r="M11" s="107"/>
      <c r="N11" s="107"/>
      <c r="O11" s="107"/>
      <c r="P11" s="101"/>
      <c r="Q11" s="101"/>
    </row>
    <row r="12" spans="1:17" ht="22.2" x14ac:dyDescent="0.3">
      <c r="A12" s="14"/>
      <c r="B12" s="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4"/>
      <c r="O12" s="13"/>
      <c r="P12" s="4"/>
      <c r="Q12" s="4"/>
    </row>
    <row r="13" spans="1:17" ht="22.2" customHeight="1" x14ac:dyDescent="0.3">
      <c r="A13" s="14" t="s">
        <v>32</v>
      </c>
      <c r="B13" s="4"/>
      <c r="C13" s="15" t="s">
        <v>5</v>
      </c>
      <c r="D13" s="16"/>
      <c r="E13" s="15" t="s">
        <v>33</v>
      </c>
      <c r="F13" s="16"/>
      <c r="G13" s="15" t="s">
        <v>34</v>
      </c>
      <c r="H13" s="16"/>
      <c r="I13" s="15" t="s">
        <v>35</v>
      </c>
      <c r="J13" s="16"/>
      <c r="K13" s="15" t="s">
        <v>36</v>
      </c>
      <c r="L13" s="16"/>
      <c r="M13" s="15" t="s">
        <v>37</v>
      </c>
      <c r="N13" s="4"/>
      <c r="O13" s="22" t="s">
        <v>37</v>
      </c>
      <c r="P13" s="4"/>
      <c r="Q13" s="4"/>
    </row>
    <row r="14" spans="1:17" ht="22.2" x14ac:dyDescent="0.3">
      <c r="A14" s="18"/>
      <c r="B14" s="4"/>
      <c r="C14" s="18"/>
      <c r="D14" s="4"/>
      <c r="E14" s="17" t="s">
        <v>26</v>
      </c>
      <c r="F14" s="4"/>
      <c r="G14" s="17" t="s">
        <v>26</v>
      </c>
      <c r="H14" s="4"/>
      <c r="I14" s="17" t="s">
        <v>26</v>
      </c>
      <c r="J14" s="4"/>
      <c r="K14" s="17" t="s">
        <v>26</v>
      </c>
      <c r="L14" s="4"/>
      <c r="M14" s="17" t="s">
        <v>26</v>
      </c>
      <c r="N14" s="4"/>
      <c r="O14" s="18" t="s">
        <v>26</v>
      </c>
      <c r="P14" s="4"/>
      <c r="Q14" s="4"/>
    </row>
  </sheetData>
  <mergeCells count="25">
    <mergeCell ref="A11:Q11"/>
    <mergeCell ref="C12:M12"/>
    <mergeCell ref="M8:O8"/>
    <mergeCell ref="A9:E9"/>
    <mergeCell ref="I9:K9"/>
    <mergeCell ref="M9:O9"/>
    <mergeCell ref="A10:H10"/>
    <mergeCell ref="I10:K10"/>
    <mergeCell ref="M10:O10"/>
    <mergeCell ref="A6:F6"/>
    <mergeCell ref="I6:K6"/>
    <mergeCell ref="L6:L10"/>
    <mergeCell ref="M6:O6"/>
    <mergeCell ref="A1:Q1"/>
    <mergeCell ref="A2:Q2"/>
    <mergeCell ref="A3:Q3"/>
    <mergeCell ref="A4:Q4"/>
    <mergeCell ref="A5:Q5"/>
    <mergeCell ref="A7:H7"/>
    <mergeCell ref="I7:K7"/>
    <mergeCell ref="M7:O7"/>
    <mergeCell ref="A8:E8"/>
    <mergeCell ref="F8:F9"/>
    <mergeCell ref="H8:H9"/>
    <mergeCell ref="I8:K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6336-7F67-459C-9CAE-BE5B6DAA3DA2}">
  <dimension ref="A1:N9"/>
  <sheetViews>
    <sheetView rightToLeft="1" workbookViewId="0">
      <selection sqref="A1:N1"/>
    </sheetView>
  </sheetViews>
  <sheetFormatPr defaultRowHeight="14.4" x14ac:dyDescent="0.3"/>
  <cols>
    <col min="1" max="1" width="43.109375" customWidth="1"/>
    <col min="2" max="2" width="0.33203125" customWidth="1"/>
    <col min="3" max="3" width="13.6640625" customWidth="1"/>
    <col min="4" max="4" width="0.33203125" customWidth="1"/>
    <col min="5" max="5" width="17.44140625" customWidth="1"/>
    <col min="6" max="6" width="0.5546875" customWidth="1"/>
    <col min="7" max="7" width="18.33203125" customWidth="1"/>
    <col min="8" max="8" width="0.44140625" customWidth="1"/>
    <col min="9" max="9" width="15.6640625" customWidth="1"/>
    <col min="10" max="10" width="0.5546875" customWidth="1"/>
    <col min="11" max="11" width="18.33203125" customWidth="1"/>
    <col min="12" max="12" width="0.21875" customWidth="1"/>
    <col min="13" max="13" width="20.5546875" customWidth="1"/>
  </cols>
  <sheetData>
    <row r="1" spans="1:14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14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</row>
    <row r="3" spans="1:14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4" ht="22.2" x14ac:dyDescent="0.3">
      <c r="A4" s="101" t="s">
        <v>60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</row>
    <row r="5" spans="1:14" ht="22.8" customHeight="1" x14ac:dyDescent="0.3">
      <c r="A5" s="4"/>
      <c r="B5" s="4"/>
      <c r="C5" s="94"/>
      <c r="D5" s="94"/>
      <c r="E5" s="94"/>
      <c r="F5" s="94"/>
      <c r="G5" s="94"/>
      <c r="H5" s="94"/>
      <c r="I5" s="94"/>
      <c r="J5" s="94"/>
      <c r="K5" s="94"/>
      <c r="L5" s="4"/>
      <c r="M5" s="24"/>
      <c r="N5" s="4"/>
    </row>
    <row r="6" spans="1:14" ht="42.6" customHeight="1" x14ac:dyDescent="0.3">
      <c r="A6" s="27" t="s">
        <v>32</v>
      </c>
      <c r="B6" s="4"/>
      <c r="C6" s="15" t="s">
        <v>5</v>
      </c>
      <c r="D6" s="16"/>
      <c r="E6" s="15" t="s">
        <v>33</v>
      </c>
      <c r="F6" s="16"/>
      <c r="G6" s="15" t="s">
        <v>34</v>
      </c>
      <c r="H6" s="16"/>
      <c r="I6" s="15" t="s">
        <v>35</v>
      </c>
      <c r="J6" s="16"/>
      <c r="K6" s="15" t="s">
        <v>37</v>
      </c>
      <c r="L6" s="4"/>
      <c r="M6" s="15" t="s">
        <v>37</v>
      </c>
      <c r="N6" s="4"/>
    </row>
    <row r="7" spans="1:14" ht="22.2" x14ac:dyDescent="0.3">
      <c r="A7" s="16"/>
      <c r="B7" s="4"/>
      <c r="C7" s="16"/>
      <c r="D7" s="4"/>
      <c r="E7" s="29" t="s">
        <v>26</v>
      </c>
      <c r="F7" s="4"/>
      <c r="G7" s="29" t="s">
        <v>26</v>
      </c>
      <c r="H7" s="4"/>
      <c r="I7" s="29" t="s">
        <v>26</v>
      </c>
      <c r="J7" s="4"/>
      <c r="K7" s="29" t="s">
        <v>26</v>
      </c>
      <c r="L7" s="4"/>
      <c r="M7" s="29" t="s">
        <v>26</v>
      </c>
      <c r="N7" s="4"/>
    </row>
    <row r="8" spans="1:14" ht="22.8" thickBot="1" x14ac:dyDescent="0.35">
      <c r="A8" s="4"/>
      <c r="B8" s="4"/>
      <c r="C8" s="4"/>
      <c r="D8" s="4"/>
      <c r="E8" s="23">
        <v>0</v>
      </c>
      <c r="F8" s="4"/>
      <c r="G8" s="23">
        <v>0</v>
      </c>
      <c r="H8" s="4"/>
      <c r="I8" s="23">
        <v>0</v>
      </c>
      <c r="J8" s="4"/>
      <c r="K8" s="23">
        <v>0</v>
      </c>
      <c r="L8" s="4"/>
      <c r="M8" s="23">
        <v>0</v>
      </c>
      <c r="N8" s="4"/>
    </row>
    <row r="9" spans="1:14" ht="15" thickTop="1" x14ac:dyDescent="0.3"/>
  </sheetData>
  <mergeCells count="5">
    <mergeCell ref="A1:N1"/>
    <mergeCell ref="A2:N2"/>
    <mergeCell ref="A3:N3"/>
    <mergeCell ref="A4:N4"/>
    <mergeCell ref="C5:K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0FCE-FA98-46A4-B5C0-2547A8DAD8C1}">
  <dimension ref="A1:P8"/>
  <sheetViews>
    <sheetView rightToLeft="1" workbookViewId="0">
      <selection sqref="A1:P1"/>
    </sheetView>
  </sheetViews>
  <sheetFormatPr defaultRowHeight="14.4" x14ac:dyDescent="0.3"/>
  <cols>
    <col min="1" max="1" width="47.5546875" customWidth="1"/>
    <col min="2" max="2" width="0.5546875" customWidth="1"/>
    <col min="3" max="3" width="14.77734375" customWidth="1"/>
    <col min="4" max="4" width="0.5546875" customWidth="1"/>
    <col min="5" max="5" width="19.44140625" customWidth="1"/>
    <col min="6" max="6" width="0.5546875" customWidth="1"/>
    <col min="7" max="7" width="21.6640625" customWidth="1"/>
    <col min="8" max="8" width="0.21875" customWidth="1"/>
    <col min="9" max="9" width="20.77734375" customWidth="1"/>
    <col min="10" max="10" width="0.5546875" customWidth="1"/>
    <col min="11" max="11" width="17.5546875" customWidth="1"/>
    <col min="12" max="12" width="0.44140625" customWidth="1"/>
    <col min="13" max="13" width="23.109375" customWidth="1"/>
    <col min="14" max="14" width="0.44140625" customWidth="1"/>
    <col min="15" max="15" width="21.33203125" customWidth="1"/>
  </cols>
  <sheetData>
    <row r="1" spans="1:16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16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</row>
    <row r="3" spans="1:16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</row>
    <row r="4" spans="1:16" ht="22.2" x14ac:dyDescent="0.3">
      <c r="A4" s="101" t="s">
        <v>61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</row>
    <row r="5" spans="1:16" ht="22.2" x14ac:dyDescent="0.3">
      <c r="A5" s="101" t="s">
        <v>62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</row>
    <row r="6" spans="1:16" ht="25.8" customHeight="1" x14ac:dyDescent="0.3">
      <c r="A6" s="4"/>
      <c r="B6" s="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4"/>
      <c r="O6" s="24"/>
      <c r="P6" s="4"/>
    </row>
    <row r="7" spans="1:16" ht="44.4" customHeight="1" x14ac:dyDescent="0.3">
      <c r="A7" s="27" t="s">
        <v>49</v>
      </c>
      <c r="B7" s="4"/>
      <c r="C7" s="15" t="s">
        <v>63</v>
      </c>
      <c r="D7" s="16"/>
      <c r="E7" s="15" t="s">
        <v>64</v>
      </c>
      <c r="F7" s="16"/>
      <c r="G7" s="15" t="s">
        <v>65</v>
      </c>
      <c r="H7" s="16"/>
      <c r="I7" s="15" t="s">
        <v>66</v>
      </c>
      <c r="J7" s="16"/>
      <c r="K7" s="15" t="s">
        <v>67</v>
      </c>
      <c r="L7" s="16"/>
      <c r="M7" s="15" t="s">
        <v>68</v>
      </c>
      <c r="N7" s="4"/>
      <c r="O7" s="15" t="s">
        <v>68</v>
      </c>
      <c r="P7" s="4"/>
    </row>
    <row r="8" spans="1:16" ht="22.2" x14ac:dyDescent="0.3">
      <c r="A8" s="28"/>
      <c r="B8" s="28"/>
      <c r="C8" s="28"/>
      <c r="D8" s="28"/>
      <c r="E8" s="28"/>
      <c r="F8" s="4"/>
      <c r="G8" s="25" t="s">
        <v>26</v>
      </c>
      <c r="H8" s="4"/>
      <c r="I8" s="25" t="s">
        <v>26</v>
      </c>
      <c r="J8" s="4"/>
      <c r="K8" s="25" t="s">
        <v>26</v>
      </c>
      <c r="L8" s="4"/>
      <c r="M8" s="25" t="s">
        <v>26</v>
      </c>
      <c r="N8" s="4"/>
      <c r="O8" s="25" t="s">
        <v>26</v>
      </c>
      <c r="P8" s="4"/>
    </row>
  </sheetData>
  <mergeCells count="6">
    <mergeCell ref="C6:M6"/>
    <mergeCell ref="A1:P1"/>
    <mergeCell ref="A2:P2"/>
    <mergeCell ref="A3:P3"/>
    <mergeCell ref="A4:P4"/>
    <mergeCell ref="A5:P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CD86-9F39-4369-878D-AC9C5FE114EC}">
  <dimension ref="A1:L19"/>
  <sheetViews>
    <sheetView rightToLeft="1" topLeftCell="A10" workbookViewId="0">
      <selection activeCell="A8" sqref="A8"/>
    </sheetView>
  </sheetViews>
  <sheetFormatPr defaultRowHeight="14.4" x14ac:dyDescent="0.3"/>
  <cols>
    <col min="1" max="1" width="35.109375" customWidth="1"/>
    <col min="2" max="2" width="0.6640625" customWidth="1"/>
    <col min="3" max="3" width="18.33203125" customWidth="1"/>
    <col min="4" max="4" width="1" customWidth="1"/>
    <col min="5" max="5" width="16" customWidth="1"/>
    <col min="6" max="6" width="0.5546875" customWidth="1"/>
    <col min="8" max="8" width="1.109375" customWidth="1"/>
    <col min="9" max="9" width="18.77734375" customWidth="1"/>
    <col min="10" max="10" width="0.6640625" customWidth="1"/>
    <col min="11" max="11" width="15.6640625" customWidth="1"/>
  </cols>
  <sheetData>
    <row r="1" spans="1:12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2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2" ht="22.2" x14ac:dyDescent="0.3">
      <c r="A4" s="95" t="s">
        <v>70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1:12" ht="22.2" x14ac:dyDescent="0.3">
      <c r="A5" s="95" t="s">
        <v>71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1:12" ht="25.8" customHeight="1" x14ac:dyDescent="0.3">
      <c r="A6" s="4"/>
      <c r="B6" s="4"/>
      <c r="C6" s="32"/>
      <c r="D6" s="4"/>
      <c r="E6" s="32"/>
      <c r="F6" s="4"/>
      <c r="G6" s="11" t="s">
        <v>25</v>
      </c>
      <c r="H6" s="4"/>
      <c r="I6" s="33"/>
      <c r="J6" s="4"/>
      <c r="K6" s="33"/>
      <c r="L6" s="4"/>
    </row>
    <row r="7" spans="1:12" ht="22.2" x14ac:dyDescent="0.3">
      <c r="A7" s="4"/>
      <c r="B7" s="4"/>
      <c r="C7" s="32"/>
      <c r="D7" s="4"/>
      <c r="E7" s="32"/>
      <c r="F7" s="4"/>
      <c r="G7" s="16"/>
      <c r="H7" s="4"/>
      <c r="I7" s="34" t="s">
        <v>26</v>
      </c>
      <c r="J7" s="4"/>
      <c r="K7" s="34" t="s">
        <v>26</v>
      </c>
      <c r="L7" s="4"/>
    </row>
    <row r="8" spans="1:12" ht="27.6" customHeight="1" x14ac:dyDescent="0.3">
      <c r="A8" s="31" t="s">
        <v>72</v>
      </c>
      <c r="B8" s="4"/>
      <c r="C8" s="32"/>
      <c r="D8" s="4"/>
      <c r="E8" s="32"/>
      <c r="F8" s="4"/>
      <c r="G8" s="30" t="s">
        <v>73</v>
      </c>
      <c r="H8" s="4"/>
      <c r="I8" s="32">
        <v>0</v>
      </c>
      <c r="J8" s="32"/>
      <c r="K8" s="32">
        <v>0</v>
      </c>
      <c r="L8" s="4"/>
    </row>
    <row r="9" spans="1:12" ht="27.6" customHeight="1" x14ac:dyDescent="0.3">
      <c r="A9" s="31" t="s">
        <v>74</v>
      </c>
      <c r="B9" s="4"/>
      <c r="C9" s="32"/>
      <c r="D9" s="4"/>
      <c r="E9" s="32"/>
      <c r="F9" s="4"/>
      <c r="G9" s="30" t="s">
        <v>73</v>
      </c>
      <c r="H9" s="4"/>
      <c r="I9" s="32">
        <v>0</v>
      </c>
      <c r="J9" s="32"/>
      <c r="K9" s="32">
        <v>0</v>
      </c>
      <c r="L9" s="4"/>
    </row>
    <row r="10" spans="1:12" ht="30" customHeight="1" x14ac:dyDescent="0.3">
      <c r="A10" s="31" t="s">
        <v>75</v>
      </c>
      <c r="B10" s="4"/>
      <c r="C10" s="32"/>
      <c r="D10" s="4"/>
      <c r="E10" s="32"/>
      <c r="F10" s="4"/>
      <c r="G10" s="30" t="s">
        <v>73</v>
      </c>
      <c r="H10" s="4"/>
      <c r="I10" s="32">
        <v>0</v>
      </c>
      <c r="J10" s="32"/>
      <c r="K10" s="32">
        <v>0</v>
      </c>
      <c r="L10" s="4"/>
    </row>
    <row r="11" spans="1:12" ht="27" customHeight="1" x14ac:dyDescent="0.3">
      <c r="A11" s="31" t="s">
        <v>76</v>
      </c>
      <c r="B11" s="4"/>
      <c r="C11" s="32"/>
      <c r="D11" s="4"/>
      <c r="E11" s="32"/>
      <c r="F11" s="4"/>
      <c r="G11" s="30" t="s">
        <v>73</v>
      </c>
      <c r="H11" s="4"/>
      <c r="I11" s="32">
        <v>0</v>
      </c>
      <c r="J11" s="32"/>
      <c r="K11" s="32">
        <v>0</v>
      </c>
      <c r="L11" s="4"/>
    </row>
    <row r="12" spans="1:12" ht="28.2" customHeight="1" x14ac:dyDescent="0.3">
      <c r="A12" s="31" t="s">
        <v>77</v>
      </c>
      <c r="B12" s="4"/>
      <c r="C12" s="32"/>
      <c r="D12" s="4"/>
      <c r="E12" s="32"/>
      <c r="F12" s="4"/>
      <c r="G12" s="30" t="s">
        <v>78</v>
      </c>
      <c r="H12" s="4"/>
      <c r="I12" s="32">
        <v>0</v>
      </c>
      <c r="J12" s="4"/>
      <c r="K12" s="32">
        <v>0</v>
      </c>
      <c r="L12" s="4"/>
    </row>
    <row r="13" spans="1:12" ht="22.2" x14ac:dyDescent="0.3">
      <c r="A13" s="31" t="s">
        <v>79</v>
      </c>
      <c r="B13" s="4"/>
      <c r="C13" s="32"/>
      <c r="D13" s="4"/>
      <c r="E13" s="32"/>
      <c r="F13" s="4"/>
      <c r="G13" s="30" t="s">
        <v>80</v>
      </c>
      <c r="H13" s="4"/>
      <c r="I13" s="32">
        <v>0</v>
      </c>
      <c r="J13" s="32"/>
      <c r="K13" s="32">
        <v>0</v>
      </c>
      <c r="L13" s="4"/>
    </row>
    <row r="14" spans="1:12" ht="22.8" thickBot="1" x14ac:dyDescent="0.35">
      <c r="A14" s="4"/>
      <c r="B14" s="4"/>
      <c r="C14" s="32"/>
      <c r="D14" s="4"/>
      <c r="E14" s="32"/>
      <c r="F14" s="4"/>
      <c r="G14" s="4"/>
      <c r="H14" s="4"/>
      <c r="I14" s="35">
        <f>SUM(I8:I13)</f>
        <v>0</v>
      </c>
      <c r="J14" s="4"/>
      <c r="K14" s="35">
        <f>SUM(K8:K13)</f>
        <v>0</v>
      </c>
      <c r="L14" s="4"/>
    </row>
    <row r="15" spans="1:12" ht="22.8" thickTop="1" x14ac:dyDescent="0.3">
      <c r="A15" s="101" t="s">
        <v>81</v>
      </c>
      <c r="B15" s="101"/>
      <c r="C15" s="101"/>
      <c r="D15" s="101"/>
      <c r="E15" s="101"/>
      <c r="F15" s="101"/>
      <c r="G15" s="101"/>
      <c r="H15" s="101"/>
      <c r="I15" s="107"/>
      <c r="J15" s="101"/>
      <c r="K15" s="107"/>
      <c r="L15" s="101"/>
    </row>
    <row r="16" spans="1:12" ht="22.2" x14ac:dyDescent="0.3">
      <c r="A16" s="4"/>
      <c r="B16" s="4"/>
      <c r="C16" s="111"/>
      <c r="D16" s="111"/>
      <c r="E16" s="111"/>
      <c r="F16" s="111"/>
      <c r="G16" s="111"/>
      <c r="H16" s="111"/>
      <c r="I16" s="111"/>
      <c r="J16" s="4"/>
      <c r="K16" s="43"/>
      <c r="L16" s="4"/>
    </row>
    <row r="17" spans="1:12" ht="28.8" customHeight="1" x14ac:dyDescent="0.3">
      <c r="A17" s="4"/>
      <c r="B17" s="4"/>
      <c r="C17" s="37" t="s">
        <v>82</v>
      </c>
      <c r="D17" s="16"/>
      <c r="E17" s="37" t="s">
        <v>83</v>
      </c>
      <c r="F17" s="16"/>
      <c r="G17" s="37" t="s">
        <v>84</v>
      </c>
      <c r="H17" s="16"/>
      <c r="I17" s="37" t="s">
        <v>85</v>
      </c>
      <c r="J17" s="4"/>
      <c r="K17" s="37" t="s">
        <v>85</v>
      </c>
      <c r="L17" s="4"/>
    </row>
    <row r="18" spans="1:12" ht="28.8" customHeight="1" x14ac:dyDescent="0.3">
      <c r="A18" s="44" t="s">
        <v>86</v>
      </c>
      <c r="B18" s="4"/>
      <c r="C18" s="32"/>
      <c r="D18" s="32"/>
      <c r="E18" s="32"/>
      <c r="F18" s="32"/>
      <c r="G18" s="32"/>
      <c r="H18" s="32"/>
      <c r="I18" s="32"/>
      <c r="J18" s="32"/>
      <c r="K18" s="32"/>
      <c r="L18" s="4"/>
    </row>
    <row r="19" spans="1:12" ht="25.2" customHeight="1" x14ac:dyDescent="0.3">
      <c r="A19" s="44" t="s">
        <v>87</v>
      </c>
      <c r="B19" s="4"/>
      <c r="C19" s="32"/>
      <c r="D19" s="32"/>
      <c r="E19" s="32"/>
      <c r="F19" s="32"/>
      <c r="G19" s="32"/>
      <c r="H19" s="32"/>
      <c r="I19" s="32"/>
      <c r="J19" s="32"/>
      <c r="K19" s="32"/>
      <c r="L19" s="4"/>
    </row>
  </sheetData>
  <mergeCells count="7">
    <mergeCell ref="C16:I16"/>
    <mergeCell ref="A1:L1"/>
    <mergeCell ref="A2:L2"/>
    <mergeCell ref="A3:L3"/>
    <mergeCell ref="A4:L4"/>
    <mergeCell ref="A5:L5"/>
    <mergeCell ref="A15:L1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FF39-B1FB-4348-B2F9-BB098381F2EE}">
  <dimension ref="A1:R7"/>
  <sheetViews>
    <sheetView rightToLeft="1" workbookViewId="0">
      <selection sqref="A1:R1"/>
    </sheetView>
  </sheetViews>
  <sheetFormatPr defaultRowHeight="14.4" x14ac:dyDescent="0.3"/>
  <cols>
    <col min="1" max="1" width="43.44140625" customWidth="1"/>
    <col min="2" max="2" width="1.109375" customWidth="1"/>
    <col min="3" max="3" width="19.21875" customWidth="1"/>
    <col min="4" max="4" width="0.77734375" customWidth="1"/>
    <col min="5" max="5" width="17.33203125" customWidth="1"/>
    <col min="6" max="6" width="0.77734375" customWidth="1"/>
    <col min="7" max="7" width="14.77734375" customWidth="1"/>
    <col min="8" max="8" width="0.77734375" customWidth="1"/>
    <col min="9" max="9" width="11.6640625" customWidth="1"/>
    <col min="10" max="10" width="0.5546875" customWidth="1"/>
    <col min="11" max="11" width="14" customWidth="1"/>
    <col min="12" max="12" width="0.44140625" customWidth="1"/>
    <col min="13" max="13" width="12.33203125" customWidth="1"/>
    <col min="14" max="14" width="0.44140625" customWidth="1"/>
    <col min="15" max="15" width="17.109375" customWidth="1"/>
    <col min="16" max="16" width="0.44140625" customWidth="1"/>
    <col min="17" max="17" width="14.33203125" customWidth="1"/>
  </cols>
  <sheetData>
    <row r="1" spans="1:18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8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18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</row>
    <row r="4" spans="1:18" ht="22.2" x14ac:dyDescent="0.3">
      <c r="A4" s="95" t="s">
        <v>88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</row>
    <row r="5" spans="1:18" ht="19.8" customHeight="1" x14ac:dyDescent="0.3">
      <c r="A5" s="4"/>
      <c r="B5" s="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4"/>
      <c r="Q5" s="33"/>
      <c r="R5" s="4"/>
    </row>
    <row r="6" spans="1:18" ht="28.8" customHeight="1" x14ac:dyDescent="0.3">
      <c r="A6" s="36" t="s">
        <v>89</v>
      </c>
      <c r="B6" s="4"/>
      <c r="C6" s="15" t="s">
        <v>90</v>
      </c>
      <c r="D6" s="16"/>
      <c r="E6" s="15" t="s">
        <v>91</v>
      </c>
      <c r="F6" s="16"/>
      <c r="G6" s="15" t="s">
        <v>92</v>
      </c>
      <c r="H6" s="16"/>
      <c r="I6" s="15" t="s">
        <v>84</v>
      </c>
      <c r="J6" s="16"/>
      <c r="K6" s="15" t="s">
        <v>93</v>
      </c>
      <c r="L6" s="16"/>
      <c r="M6" s="15" t="s">
        <v>67</v>
      </c>
      <c r="N6" s="16"/>
      <c r="O6" s="15" t="s">
        <v>94</v>
      </c>
      <c r="P6" s="4"/>
      <c r="Q6" s="15" t="s">
        <v>94</v>
      </c>
      <c r="R6" s="4"/>
    </row>
    <row r="7" spans="1:18" ht="22.2" x14ac:dyDescent="0.3">
      <c r="A7" s="34"/>
      <c r="B7" s="34"/>
      <c r="C7" s="34"/>
      <c r="D7" s="34"/>
      <c r="E7" s="34"/>
      <c r="F7" s="4"/>
      <c r="G7" s="34" t="s">
        <v>26</v>
      </c>
      <c r="H7" s="4"/>
      <c r="I7" s="34" t="s">
        <v>95</v>
      </c>
      <c r="J7" s="4"/>
      <c r="K7" s="34" t="s">
        <v>26</v>
      </c>
      <c r="L7" s="4"/>
      <c r="M7" s="34" t="s">
        <v>26</v>
      </c>
      <c r="N7" s="4"/>
      <c r="O7" s="34" t="s">
        <v>26</v>
      </c>
      <c r="P7" s="4"/>
      <c r="Q7" s="34" t="s">
        <v>26</v>
      </c>
      <c r="R7" s="4"/>
    </row>
  </sheetData>
  <mergeCells count="5">
    <mergeCell ref="A1:R1"/>
    <mergeCell ref="A2:R2"/>
    <mergeCell ref="A3:R3"/>
    <mergeCell ref="A4:R4"/>
    <mergeCell ref="C5:O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5BF4-81ED-4951-9B68-616E14714DFF}">
  <dimension ref="A1:L18"/>
  <sheetViews>
    <sheetView rightToLeft="1" workbookViewId="0">
      <selection activeCell="H13" sqref="H13"/>
    </sheetView>
  </sheetViews>
  <sheetFormatPr defaultRowHeight="14.4" x14ac:dyDescent="0.3"/>
  <cols>
    <col min="1" max="1" width="46.109375" customWidth="1"/>
    <col min="2" max="2" width="0.5546875" customWidth="1"/>
    <col min="4" max="4" width="0.5546875" customWidth="1"/>
    <col min="5" max="5" width="20.21875" customWidth="1"/>
    <col min="6" max="6" width="0.33203125" customWidth="1"/>
    <col min="7" max="7" width="18.21875" customWidth="1"/>
    <col min="12" max="12" width="22.21875" customWidth="1"/>
  </cols>
  <sheetData>
    <row r="1" spans="1:12" ht="22.2" x14ac:dyDescent="0.3">
      <c r="A1" s="93" t="s">
        <v>69</v>
      </c>
      <c r="B1" s="93"/>
      <c r="C1" s="93"/>
      <c r="D1" s="93"/>
      <c r="E1" s="93"/>
      <c r="F1" s="93"/>
      <c r="G1" s="93"/>
      <c r="H1" s="93"/>
    </row>
    <row r="2" spans="1:12" ht="22.2" x14ac:dyDescent="0.3">
      <c r="A2" s="93" t="s">
        <v>14</v>
      </c>
      <c r="B2" s="93"/>
      <c r="C2" s="93"/>
      <c r="D2" s="93"/>
      <c r="E2" s="93"/>
      <c r="F2" s="93"/>
      <c r="G2" s="93"/>
      <c r="H2" s="93"/>
    </row>
    <row r="3" spans="1:12" ht="22.2" x14ac:dyDescent="0.3">
      <c r="A3" s="93" t="s">
        <v>38</v>
      </c>
      <c r="B3" s="93"/>
      <c r="C3" s="93"/>
      <c r="D3" s="93"/>
      <c r="E3" s="93"/>
      <c r="F3" s="93"/>
      <c r="G3" s="93"/>
      <c r="H3" s="93"/>
    </row>
    <row r="4" spans="1:12" ht="22.2" x14ac:dyDescent="0.3">
      <c r="A4" s="95" t="s">
        <v>108</v>
      </c>
      <c r="B4" s="95"/>
      <c r="C4" s="95"/>
      <c r="D4" s="95"/>
      <c r="E4" s="95"/>
      <c r="F4" s="95"/>
      <c r="G4" s="95"/>
      <c r="H4" s="95"/>
    </row>
    <row r="5" spans="1:12" ht="21.6" customHeight="1" x14ac:dyDescent="0.3">
      <c r="A5" s="95"/>
      <c r="B5" s="95"/>
      <c r="C5" s="11" t="s">
        <v>25</v>
      </c>
      <c r="D5" s="38"/>
      <c r="E5" s="39"/>
      <c r="F5" s="95"/>
      <c r="G5" s="39"/>
      <c r="H5" s="95"/>
    </row>
    <row r="6" spans="1:12" ht="22.2" x14ac:dyDescent="0.3">
      <c r="A6" s="95"/>
      <c r="B6" s="95"/>
      <c r="C6" s="110"/>
      <c r="D6" s="95"/>
      <c r="E6" s="46" t="s">
        <v>26</v>
      </c>
      <c r="F6" s="95"/>
      <c r="G6" s="46" t="s">
        <v>26</v>
      </c>
      <c r="H6" s="95"/>
    </row>
    <row r="7" spans="1:12" x14ac:dyDescent="0.3">
      <c r="A7" s="4"/>
      <c r="D7" s="4"/>
      <c r="E7" s="4"/>
      <c r="H7" s="4"/>
    </row>
    <row r="8" spans="1:12" ht="24.6" customHeight="1" x14ac:dyDescent="0.3">
      <c r="A8" s="4"/>
      <c r="D8" s="4"/>
      <c r="E8" s="4"/>
      <c r="H8" s="4"/>
      <c r="L8" s="48"/>
    </row>
    <row r="9" spans="1:12" ht="24" customHeight="1" x14ac:dyDescent="0.3">
      <c r="A9" s="4"/>
      <c r="D9" s="4"/>
      <c r="E9" s="4"/>
      <c r="H9" s="4"/>
    </row>
    <row r="10" spans="1:12" ht="23.4" customHeight="1" x14ac:dyDescent="0.3">
      <c r="A10" s="4"/>
      <c r="D10" s="4"/>
      <c r="E10" s="4"/>
      <c r="H10" s="4"/>
    </row>
    <row r="11" spans="1:12" ht="25.8" customHeight="1" x14ac:dyDescent="0.3">
      <c r="A11" s="4"/>
      <c r="D11" s="4"/>
      <c r="E11" s="4"/>
      <c r="H11" s="4"/>
    </row>
    <row r="12" spans="1:12" x14ac:dyDescent="0.3">
      <c r="A12" s="4"/>
      <c r="D12" s="4"/>
      <c r="H12" s="4"/>
    </row>
    <row r="13" spans="1:12" ht="22.8" customHeight="1" x14ac:dyDescent="0.3">
      <c r="D13" s="77"/>
      <c r="H13" s="77"/>
    </row>
    <row r="14" spans="1:12" ht="22.2" customHeight="1" x14ac:dyDescent="0.3">
      <c r="D14" s="77"/>
      <c r="H14" s="77"/>
    </row>
    <row r="15" spans="1:12" ht="22.2" x14ac:dyDescent="0.3">
      <c r="D15" s="77"/>
      <c r="H15" s="77"/>
    </row>
    <row r="16" spans="1:12" ht="22.2" x14ac:dyDescent="0.3">
      <c r="D16" s="77"/>
      <c r="H16" s="77"/>
    </row>
    <row r="17" spans="4:8" ht="36" customHeight="1" x14ac:dyDescent="0.3">
      <c r="D17" s="4"/>
      <c r="H17" s="4"/>
    </row>
    <row r="18" spans="4:8" x14ac:dyDescent="0.3">
      <c r="D18" s="4"/>
      <c r="H18" s="4"/>
    </row>
  </sheetData>
  <mergeCells count="8">
    <mergeCell ref="A1:H1"/>
    <mergeCell ref="A2:H2"/>
    <mergeCell ref="A3:H3"/>
    <mergeCell ref="A4:H4"/>
    <mergeCell ref="A5:B5"/>
    <mergeCell ref="F5:F6"/>
    <mergeCell ref="H5:H6"/>
    <mergeCell ref="A6:D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32BC-A832-4CEC-BB09-CA4D0AFDA50B}">
  <dimension ref="A1:P16"/>
  <sheetViews>
    <sheetView rightToLeft="1" topLeftCell="A4" workbookViewId="0">
      <selection activeCell="M15" sqref="M15:O15"/>
    </sheetView>
  </sheetViews>
  <sheetFormatPr defaultRowHeight="14.4" x14ac:dyDescent="0.3"/>
  <cols>
    <col min="1" max="1" width="27.33203125" customWidth="1"/>
    <col min="2" max="2" width="0.33203125" customWidth="1"/>
    <col min="3" max="3" width="14.21875" customWidth="1"/>
    <col min="4" max="4" width="0.33203125" customWidth="1"/>
    <col min="5" max="5" width="13.109375" customWidth="1"/>
    <col min="6" max="6" width="0.33203125" customWidth="1"/>
    <col min="7" max="7" width="26" customWidth="1"/>
    <col min="8" max="8" width="0.44140625" customWidth="1"/>
    <col min="9" max="9" width="23.77734375" customWidth="1"/>
    <col min="10" max="10" width="0.6640625" customWidth="1"/>
    <col min="11" max="11" width="17.21875" customWidth="1"/>
    <col min="12" max="12" width="0.6640625" customWidth="1"/>
    <col min="13" max="13" width="29.21875" customWidth="1"/>
    <col min="14" max="14" width="0.33203125" customWidth="1"/>
    <col min="15" max="15" width="16.88671875" customWidth="1"/>
  </cols>
  <sheetData>
    <row r="1" spans="1:16" ht="22.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16" ht="22.2" x14ac:dyDescent="0.3">
      <c r="A2" s="93" t="s">
        <v>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</row>
    <row r="3" spans="1:16" ht="22.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</row>
    <row r="4" spans="1:16" ht="22.2" x14ac:dyDescent="0.3">
      <c r="A4" s="95" t="s">
        <v>174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</row>
    <row r="5" spans="1:16" ht="22.2" x14ac:dyDescent="0.3">
      <c r="A5" s="95" t="s">
        <v>175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</row>
    <row r="6" spans="1:16" ht="22.8" customHeight="1" x14ac:dyDescent="0.3">
      <c r="A6" s="4"/>
      <c r="B6" s="4"/>
      <c r="C6" s="4"/>
      <c r="D6" s="4"/>
      <c r="E6" s="4"/>
      <c r="F6" s="4"/>
      <c r="G6" s="74"/>
      <c r="H6" s="4"/>
      <c r="I6" s="94"/>
      <c r="J6" s="94"/>
      <c r="K6" s="94"/>
      <c r="L6" s="4"/>
      <c r="M6" s="4"/>
      <c r="N6" s="4"/>
      <c r="O6" s="4"/>
      <c r="P6" s="4"/>
    </row>
    <row r="7" spans="1:16" ht="22.2" x14ac:dyDescent="0.3">
      <c r="A7" s="4"/>
      <c r="B7" s="4"/>
      <c r="C7" s="4"/>
      <c r="D7" s="4"/>
      <c r="E7" s="4"/>
      <c r="F7" s="4"/>
      <c r="G7" s="75" t="s">
        <v>26</v>
      </c>
      <c r="H7" s="4"/>
      <c r="I7" s="100" t="s">
        <v>26</v>
      </c>
      <c r="J7" s="100"/>
      <c r="K7" s="100"/>
      <c r="L7" s="4"/>
      <c r="M7" s="4"/>
      <c r="N7" s="4"/>
      <c r="O7" s="4"/>
      <c r="P7" s="4"/>
    </row>
    <row r="8" spans="1:16" ht="20.399999999999999" x14ac:dyDescent="0.3">
      <c r="A8" s="112" t="s">
        <v>176</v>
      </c>
      <c r="B8" s="112"/>
      <c r="C8" s="112"/>
      <c r="D8" s="4"/>
      <c r="E8" s="4"/>
      <c r="F8" s="4"/>
      <c r="G8" s="92">
        <v>0</v>
      </c>
      <c r="H8" s="4"/>
      <c r="I8" s="113">
        <v>0</v>
      </c>
      <c r="J8" s="113"/>
      <c r="K8" s="113"/>
      <c r="L8" s="4"/>
      <c r="M8" s="4"/>
      <c r="N8" s="4"/>
      <c r="O8" s="4"/>
      <c r="P8" s="4"/>
    </row>
    <row r="9" spans="1:16" ht="20.399999999999999" x14ac:dyDescent="0.3">
      <c r="A9" s="112" t="s">
        <v>177</v>
      </c>
      <c r="B9" s="112"/>
      <c r="C9" s="112"/>
      <c r="D9" s="4"/>
      <c r="E9" s="4"/>
      <c r="F9" s="4"/>
      <c r="G9" s="71">
        <v>0</v>
      </c>
      <c r="H9" s="4"/>
      <c r="I9" s="114">
        <v>0</v>
      </c>
      <c r="J9" s="114"/>
      <c r="K9" s="114"/>
      <c r="L9" s="4"/>
      <c r="M9" s="4"/>
      <c r="N9" s="4"/>
      <c r="O9" s="4"/>
      <c r="P9" s="4"/>
    </row>
    <row r="10" spans="1:16" ht="22.8" thickBot="1" x14ac:dyDescent="0.35">
      <c r="A10" s="4"/>
      <c r="B10" s="4"/>
      <c r="C10" s="4"/>
      <c r="D10" s="4"/>
      <c r="E10" s="4"/>
      <c r="F10" s="4"/>
      <c r="G10" s="73">
        <f>SUM(G8:G9)</f>
        <v>0</v>
      </c>
      <c r="H10" s="4"/>
      <c r="I10" s="99">
        <f>SUM(I8:K9)</f>
        <v>0</v>
      </c>
      <c r="J10" s="99"/>
      <c r="K10" s="99"/>
      <c r="L10" s="4"/>
      <c r="M10" s="4"/>
      <c r="N10" s="4"/>
      <c r="O10" s="4"/>
      <c r="P10" s="4"/>
    </row>
    <row r="11" spans="1:16" ht="22.8" thickTop="1" x14ac:dyDescent="0.3">
      <c r="A11" s="95" t="s">
        <v>178</v>
      </c>
      <c r="B11" s="95"/>
      <c r="C11" s="95"/>
      <c r="D11" s="95"/>
      <c r="E11" s="95"/>
      <c r="F11" s="95"/>
      <c r="G11" s="103"/>
      <c r="H11" s="95"/>
      <c r="I11" s="103"/>
      <c r="J11" s="103"/>
      <c r="K11" s="103"/>
      <c r="L11" s="95"/>
      <c r="M11" s="95"/>
      <c r="N11" s="95"/>
      <c r="O11" s="95"/>
      <c r="P11" s="95"/>
    </row>
    <row r="12" spans="1:16" ht="22.2" x14ac:dyDescent="0.3">
      <c r="A12" s="95" t="s">
        <v>179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</row>
    <row r="13" spans="1:16" ht="22.2" x14ac:dyDescent="0.3">
      <c r="A13" s="95" t="s">
        <v>180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</row>
    <row r="14" spans="1:16" ht="22.2" x14ac:dyDescent="0.3">
      <c r="A14" s="95" t="s">
        <v>181</v>
      </c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</row>
    <row r="15" spans="1:16" ht="22.2" x14ac:dyDescent="0.3">
      <c r="A15" s="4"/>
      <c r="B15" s="4"/>
      <c r="C15" s="4"/>
      <c r="D15" s="4"/>
      <c r="E15" s="4"/>
      <c r="F15" s="4"/>
      <c r="G15" s="94"/>
      <c r="H15" s="94"/>
      <c r="I15" s="94"/>
      <c r="J15" s="94"/>
      <c r="K15" s="94"/>
      <c r="L15" s="4"/>
      <c r="M15" s="94"/>
      <c r="N15" s="94"/>
      <c r="O15" s="94"/>
      <c r="P15" s="4"/>
    </row>
    <row r="16" spans="1:16" ht="44.4" customHeight="1" x14ac:dyDescent="0.3">
      <c r="A16" s="76" t="s">
        <v>182</v>
      </c>
      <c r="B16" s="4"/>
      <c r="C16" s="76" t="s">
        <v>89</v>
      </c>
      <c r="D16" s="4"/>
      <c r="E16" s="76" t="s">
        <v>183</v>
      </c>
      <c r="F16" s="4"/>
      <c r="G16" s="15" t="s">
        <v>184</v>
      </c>
      <c r="H16" s="16"/>
      <c r="I16" s="15" t="s">
        <v>185</v>
      </c>
      <c r="J16" s="16"/>
      <c r="K16" s="15" t="s">
        <v>186</v>
      </c>
      <c r="L16" s="4"/>
      <c r="M16" s="15" t="s">
        <v>185</v>
      </c>
      <c r="N16" s="16"/>
      <c r="O16" s="29" t="s">
        <v>187</v>
      </c>
      <c r="P16" s="4"/>
    </row>
  </sheetData>
  <mergeCells count="18">
    <mergeCell ref="A11:P11"/>
    <mergeCell ref="A12:P12"/>
    <mergeCell ref="A13:P13"/>
    <mergeCell ref="A14:P14"/>
    <mergeCell ref="G15:K15"/>
    <mergeCell ref="M15:O15"/>
    <mergeCell ref="I10:K10"/>
    <mergeCell ref="A1:P1"/>
    <mergeCell ref="A2:P2"/>
    <mergeCell ref="A3:P3"/>
    <mergeCell ref="A4:P4"/>
    <mergeCell ref="A5:P5"/>
    <mergeCell ref="I6:K6"/>
    <mergeCell ref="I7:K7"/>
    <mergeCell ref="A8:C8"/>
    <mergeCell ref="I8:K8"/>
    <mergeCell ref="A9:C9"/>
    <mergeCell ref="I9:K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C94A-A27D-44EB-BD19-3F3FE8320535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60B2-2CC0-4D75-80A4-A3F3AD34872A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23FD-2198-437A-ADD3-FE2DBAE76CF1}">
  <dimension ref="A1:H3"/>
  <sheetViews>
    <sheetView rightToLeft="1" workbookViewId="0">
      <selection activeCell="D16" sqref="D16"/>
    </sheetView>
  </sheetViews>
  <sheetFormatPr defaultColWidth="9" defaultRowHeight="14.4" x14ac:dyDescent="0.3"/>
  <cols>
    <col min="1" max="1" width="13.109375" style="1" customWidth="1"/>
    <col min="2" max="2" width="19.6640625" style="1" customWidth="1"/>
    <col min="3" max="3" width="13.33203125" style="1" customWidth="1"/>
    <col min="4" max="4" width="15.21875" style="1" customWidth="1"/>
    <col min="5" max="5" width="14.44140625" style="1" customWidth="1"/>
    <col min="6" max="6" width="15.109375" style="1" customWidth="1"/>
    <col min="7" max="7" width="18.44140625" style="1" customWidth="1"/>
    <col min="8" max="8" width="21.21875" style="1" customWidth="1"/>
    <col min="9" max="16384" width="9" style="1"/>
  </cols>
  <sheetData>
    <row r="1" spans="1:8" ht="27" x14ac:dyDescent="0.3">
      <c r="A1" s="115" t="s">
        <v>0</v>
      </c>
      <c r="B1" s="115"/>
      <c r="C1" s="115"/>
      <c r="D1" s="115"/>
      <c r="E1" s="115"/>
      <c r="F1" s="115"/>
      <c r="G1" s="115"/>
      <c r="H1" s="115"/>
    </row>
    <row r="2" spans="1:8" ht="27" x14ac:dyDescent="0.3">
      <c r="A2" s="115" t="s">
        <v>1</v>
      </c>
      <c r="B2" s="115"/>
      <c r="C2" s="115"/>
      <c r="D2" s="115"/>
      <c r="E2" s="115"/>
      <c r="F2" s="115"/>
      <c r="G2" s="115"/>
      <c r="H2" s="115"/>
    </row>
    <row r="3" spans="1:8" ht="27" x14ac:dyDescent="0.3">
      <c r="A3" s="115"/>
      <c r="B3" s="115"/>
      <c r="C3" s="115"/>
      <c r="D3" s="115"/>
      <c r="E3" s="115"/>
      <c r="F3" s="115"/>
      <c r="G3" s="115"/>
      <c r="H3" s="115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9F5F-BDCB-43EB-BEE9-D1973684FFE2}">
  <dimension ref="A1:O8"/>
  <sheetViews>
    <sheetView rightToLeft="1" workbookViewId="0">
      <selection activeCell="K25" sqref="K25"/>
    </sheetView>
  </sheetViews>
  <sheetFormatPr defaultColWidth="9" defaultRowHeight="16.8" x14ac:dyDescent="0.3"/>
  <cols>
    <col min="1" max="1" width="17.88671875" style="2" customWidth="1"/>
    <col min="2" max="2" width="1.6640625" style="2" customWidth="1"/>
    <col min="3" max="3" width="17" style="2" customWidth="1"/>
    <col min="4" max="4" width="14" style="2" customWidth="1"/>
    <col min="5" max="5" width="11.6640625" style="2" customWidth="1"/>
    <col min="6" max="6" width="12.33203125" style="2" customWidth="1"/>
    <col min="7" max="7" width="13.6640625" style="2" customWidth="1"/>
    <col min="8" max="8" width="19.88671875" style="2" customWidth="1"/>
    <col min="9" max="9" width="17.77734375" style="2" customWidth="1"/>
    <col min="10" max="10" width="13.21875" style="2" customWidth="1"/>
    <col min="11" max="11" width="15.77734375" style="2" customWidth="1"/>
    <col min="12" max="12" width="14" style="2" customWidth="1"/>
    <col min="13" max="13" width="16.77734375" style="2" customWidth="1"/>
    <col min="14" max="14" width="1.6640625" style="2" customWidth="1"/>
    <col min="15" max="15" width="16" style="2" customWidth="1"/>
    <col min="16" max="16384" width="9" style="2"/>
  </cols>
  <sheetData>
    <row r="1" spans="1:15" ht="27" x14ac:dyDescent="0.3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5" ht="27" x14ac:dyDescent="0.3">
      <c r="A2" s="115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15" ht="27" x14ac:dyDescent="0.3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</row>
    <row r="4" spans="1:15" ht="27" x14ac:dyDescent="0.3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</row>
    <row r="5" spans="1:15" ht="27" x14ac:dyDescent="0.3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</row>
    <row r="6" spans="1:15" ht="18.75" customHeight="1" x14ac:dyDescent="0.3">
      <c r="A6" s="118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O6" s="116"/>
    </row>
    <row r="7" spans="1:15" ht="18.75" customHeight="1" x14ac:dyDescent="0.3">
      <c r="A7" s="119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O7" s="117"/>
    </row>
    <row r="8" spans="1:15" ht="20.399999999999999" x14ac:dyDescent="0.3">
      <c r="A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O8" s="3" t="s">
        <v>13</v>
      </c>
    </row>
  </sheetData>
  <mergeCells count="8">
    <mergeCell ref="C6:M7"/>
    <mergeCell ref="O6:O7"/>
    <mergeCell ref="A6:A7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</vt:lpstr>
      <vt:lpstr>صورت خالص دارایی ها</vt:lpstr>
      <vt:lpstr>صورت سود و زیان</vt:lpstr>
      <vt:lpstr>اطلاعات کلی صندوق</vt:lpstr>
      <vt:lpstr>مبنای تهیه صورت مالی 1</vt:lpstr>
      <vt:lpstr>مبنای تهیه صورت مالی 2</vt:lpstr>
      <vt:lpstr>5</vt:lpstr>
      <vt:lpstr>6</vt:lpstr>
      <vt:lpstr>7</vt:lpstr>
      <vt:lpstr>8-11</vt:lpstr>
      <vt:lpstr>12-13</vt:lpstr>
      <vt:lpstr>14</vt:lpstr>
      <vt:lpstr>15-16</vt:lpstr>
      <vt:lpstr>17-1</vt:lpstr>
      <vt:lpstr>17-2</vt:lpstr>
      <vt:lpstr>17-3</vt:lpstr>
      <vt:lpstr>18-1</vt:lpstr>
      <vt:lpstr>18-2</vt:lpstr>
      <vt:lpstr>19</vt:lpstr>
      <vt:lpstr>20-1</vt:lpstr>
      <vt:lpstr>20-2-3</vt:lpstr>
      <vt:lpstr>21-23</vt:lpstr>
      <vt:lpstr>24-26</vt:lpstr>
      <vt:lpstr>24-26-1</vt:lpstr>
      <vt:lpstr>27-28</vt:lpstr>
      <vt:lpstr>گزارش صورت های مالی</vt:lpstr>
      <vt:lpstr>سود و زیان اعمال اختیار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Baharak Bakhtiari</dc:creator>
  <cp:lastModifiedBy>Mobin</cp:lastModifiedBy>
  <dcterms:created xsi:type="dcterms:W3CDTF">2025-11-25T14:53:52Z</dcterms:created>
  <dcterms:modified xsi:type="dcterms:W3CDTF">2026-05-12T08:38:54Z</dcterms:modified>
</cp:coreProperties>
</file>